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BDF07EE8-7821-446F-AC9A-E8D12F98B3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1" l="1"/>
  <c r="F4" i="1" s="1"/>
  <c r="G4" i="1" s="1"/>
  <c r="E3" i="1"/>
  <c r="F3" i="1" s="1"/>
  <c r="G3" i="1" s="1"/>
  <c r="H3" i="1" s="1"/>
  <c r="E2" i="1"/>
  <c r="F2" i="1" s="1"/>
  <c r="G2" i="1" s="1"/>
  <c r="H2" i="1" s="1"/>
</calcChain>
</file>

<file path=xl/sharedStrings.xml><?xml version="1.0" encoding="utf-8"?>
<sst xmlns="http://schemas.openxmlformats.org/spreadsheetml/2006/main" count="28" uniqueCount="22">
  <si>
    <t>Specimen</t>
  </si>
  <si>
    <t>Ontogentic state</t>
  </si>
  <si>
    <t>Femur length (FL) (µm)</t>
  </si>
  <si>
    <t>Femur length (mm)</t>
  </si>
  <si>
    <t>BM (g)</t>
  </si>
  <si>
    <t xml:space="preserve">Source </t>
  </si>
  <si>
    <t>This study</t>
  </si>
  <si>
    <t>Enantiornithine IVPP V 15686</t>
  </si>
  <si>
    <t>O’Connor et al. (2024)</t>
  </si>
  <si>
    <t>mature</t>
  </si>
  <si>
    <r>
      <rPr>
        <i/>
        <sz val="11"/>
        <color rgb="FF000000"/>
        <rFont val="Times New Roman"/>
        <family val="1"/>
        <charset val="1"/>
      </rPr>
      <t xml:space="preserve">Concornis lacustris </t>
    </r>
    <r>
      <rPr>
        <sz val="11"/>
        <color rgb="FF000000"/>
        <rFont val="Times New Roman"/>
        <family val="1"/>
        <charset val="1"/>
      </rPr>
      <t>MCCM LH 1184</t>
    </r>
  </si>
  <si>
    <t xml:space="preserve">Serrano et al. (2018) </t>
  </si>
  <si>
    <t xml:space="preserve">Enantiornithine IVPP V 17968 </t>
  </si>
  <si>
    <r>
      <rPr>
        <i/>
        <sz val="11"/>
        <color rgb="FF000000"/>
        <rFont val="Times New Roman"/>
        <family val="1"/>
      </rPr>
      <t>Eoalulavis hoyasi</t>
    </r>
    <r>
      <rPr>
        <sz val="11"/>
        <color rgb="FF000000"/>
        <rFont val="Times New Roman"/>
        <family val="1"/>
        <charset val="1"/>
      </rPr>
      <t xml:space="preserve"> MCCM LH 13500</t>
    </r>
  </si>
  <si>
    <t>Body mass estimation based on femur length LogBM = -4.788 + 2.690 log (FL) (Serrano et al. 2015)</t>
  </si>
  <si>
    <r>
      <t>BM = 10</t>
    </r>
    <r>
      <rPr>
        <b/>
        <sz val="11"/>
        <rFont val="Times New Roman"/>
        <family val="1"/>
      </rPr>
      <t>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  <charset val="1"/>
      </rPr>
      <t xml:space="preserve"> (kg)</t>
    </r>
  </si>
  <si>
    <r>
      <t xml:space="preserve">  Q̇ (mL</t>
    </r>
    <r>
      <rPr>
        <b/>
        <sz val="10"/>
        <color rgb="FF000000"/>
        <rFont val="Times New Roman"/>
        <family val="1"/>
        <charset val="1"/>
      </rPr>
      <t>.s</t>
    </r>
    <r>
      <rPr>
        <b/>
        <vertAlign val="superscript"/>
        <sz val="10"/>
        <color rgb="FF000000"/>
        <rFont val="Times New Roman"/>
        <family val="1"/>
      </rPr>
      <t>−1</t>
    </r>
    <r>
      <rPr>
        <b/>
        <sz val="10"/>
        <color rgb="FF000000"/>
        <rFont val="Times New Roman"/>
        <family val="1"/>
        <charset val="1"/>
      </rPr>
      <t>) femur based on cursorial birds (Hu et al. 2023)</t>
    </r>
  </si>
  <si>
    <t>Sanz &amp; Ortega (2002)</t>
  </si>
  <si>
    <t>15–20</t>
  </si>
  <si>
    <r>
      <rPr>
        <i/>
        <sz val="11"/>
        <color rgb="FF000000"/>
        <rFont val="Times New Roman"/>
        <family val="1"/>
      </rPr>
      <t>Iberomesornis</t>
    </r>
    <r>
      <rPr>
        <sz val="11"/>
        <color rgb="FF000000"/>
        <rFont val="Times New Roman"/>
        <family val="1"/>
        <charset val="1"/>
      </rPr>
      <t xml:space="preserve"> sp. MCCM-LH09681</t>
    </r>
  </si>
  <si>
    <t>Enantiornithine MPCM LH 26189</t>
  </si>
  <si>
    <t>perinate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</si>
</sst>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000000000000000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vertAlign val="superscript"/>
      <sz val="11"/>
      <name val="Times New Roman"/>
      <family val="1"/>
    </font>
    <font>
      <b/>
      <sz val="11"/>
      <name val="Times New Roman"/>
      <family val="1"/>
    </font>
    <font>
      <b/>
      <vertAlign val="superscript"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ColWidth="11.77734375" defaultRowHeight="13.8" x14ac:dyDescent="0.25"/>
  <cols>
    <col min="1" max="1" width="32.88671875" style="1" customWidth="1"/>
    <col min="2" max="2" width="20.6640625" style="1" customWidth="1"/>
    <col min="3" max="3" width="21" style="1" customWidth="1"/>
    <col min="4" max="4" width="18.77734375" style="1" customWidth="1"/>
    <col min="5" max="7" width="30.21875" style="1" customWidth="1"/>
    <col min="8" max="8" width="31.33203125" style="1" customWidth="1"/>
    <col min="9" max="9" width="18.77734375" style="1" customWidth="1"/>
    <col min="10" max="10" width="27" style="1" customWidth="1"/>
    <col min="11" max="11" width="26.77734375" style="1" customWidth="1"/>
    <col min="12" max="12" width="13.88671875" style="1" customWidth="1"/>
    <col min="13" max="999" width="11.77734375" style="1"/>
    <col min="1000" max="1000" width="11.5546875" style="1" customWidth="1"/>
    <col min="1001" max="1002" width="11.77734375" style="1"/>
    <col min="1003" max="1025" width="11.5546875" style="1" customWidth="1"/>
    <col min="1026" max="16384" width="11.77734375" style="1"/>
  </cols>
  <sheetData>
    <row r="1" spans="1:9" ht="4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14</v>
      </c>
      <c r="F1" s="3" t="s">
        <v>15</v>
      </c>
      <c r="G1" s="3" t="s">
        <v>4</v>
      </c>
      <c r="H1" s="4" t="s">
        <v>16</v>
      </c>
      <c r="I1" s="2" t="s">
        <v>5</v>
      </c>
    </row>
    <row r="2" spans="1:9" x14ac:dyDescent="0.25">
      <c r="A2" s="1" t="s">
        <v>20</v>
      </c>
      <c r="B2" s="1" t="s">
        <v>21</v>
      </c>
      <c r="C2" s="5"/>
      <c r="D2" s="1">
        <v>10.8</v>
      </c>
      <c r="E2" s="1">
        <f t="shared" ref="E2:E3" si="0">-4.788 + 2.69*LOG(D2)</f>
        <v>-2.0080900977401059</v>
      </c>
      <c r="F2" s="1">
        <f t="shared" ref="F2:F3" si="1">10^E2</f>
        <v>9.8154429296182528E-3</v>
      </c>
      <c r="G2" s="6">
        <f t="shared" ref="G2:G3" si="2">F2*1000</f>
        <v>9.8154429296182535</v>
      </c>
      <c r="H2" s="7">
        <f t="shared" ref="H2:H3" si="3">0.00000369*(G2)^0.85</f>
        <v>2.5712824350568137E-5</v>
      </c>
      <c r="I2" s="1" t="s">
        <v>6</v>
      </c>
    </row>
    <row r="3" spans="1:9" x14ac:dyDescent="0.25">
      <c r="A3" s="9" t="s">
        <v>7</v>
      </c>
      <c r="B3" s="10" t="s">
        <v>21</v>
      </c>
      <c r="C3" s="10"/>
      <c r="D3" s="10">
        <v>15.6</v>
      </c>
      <c r="E3" s="10">
        <f t="shared" si="0"/>
        <v>-1.5784948304264987</v>
      </c>
      <c r="F3" s="10">
        <f t="shared" si="1"/>
        <v>2.6393997399644223E-2</v>
      </c>
      <c r="G3" s="6">
        <f t="shared" si="2"/>
        <v>26.393997399644224</v>
      </c>
      <c r="H3" s="7">
        <f t="shared" si="3"/>
        <v>5.9608166062983415E-5</v>
      </c>
      <c r="I3" s="1" t="s">
        <v>8</v>
      </c>
    </row>
    <row r="4" spans="1:9" x14ac:dyDescent="0.25">
      <c r="A4" s="10" t="s">
        <v>12</v>
      </c>
      <c r="B4" s="1" t="s">
        <v>9</v>
      </c>
      <c r="D4" s="5">
        <v>28.411999999999999</v>
      </c>
      <c r="E4" s="1">
        <f>-4.788 + 2.69*LOG(D4)</f>
        <v>-0.87808014185995376</v>
      </c>
      <c r="F4" s="1">
        <f>10^E4</f>
        <v>0.1324097172426722</v>
      </c>
      <c r="G4" s="6">
        <f>F4*1000</f>
        <v>132.4097172426722</v>
      </c>
      <c r="H4" s="7"/>
      <c r="I4" s="1" t="s">
        <v>6</v>
      </c>
    </row>
    <row r="5" spans="1:9" x14ac:dyDescent="0.25">
      <c r="A5" s="8" t="s">
        <v>10</v>
      </c>
      <c r="B5" s="1" t="s">
        <v>9</v>
      </c>
      <c r="G5" s="6">
        <v>70</v>
      </c>
      <c r="H5" s="7"/>
      <c r="I5" s="10" t="s">
        <v>11</v>
      </c>
    </row>
    <row r="6" spans="1:9" x14ac:dyDescent="0.25">
      <c r="A6" s="11" t="s">
        <v>13</v>
      </c>
      <c r="B6" s="1" t="s">
        <v>9</v>
      </c>
      <c r="G6" s="1">
        <v>45</v>
      </c>
      <c r="I6" s="10" t="s">
        <v>11</v>
      </c>
    </row>
    <row r="7" spans="1:9" x14ac:dyDescent="0.25">
      <c r="A7" s="11" t="s">
        <v>19</v>
      </c>
      <c r="B7" s="1" t="s">
        <v>9</v>
      </c>
      <c r="G7" s="12" t="s">
        <v>18</v>
      </c>
      <c r="I7" s="1" t="s">
        <v>17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SENA</dc:creator>
  <dc:description/>
  <cp:lastModifiedBy>Mariana Sena</cp:lastModifiedBy>
  <cp:revision>247</cp:revision>
  <dcterms:created xsi:type="dcterms:W3CDTF">2022-09-26T08:00:25Z</dcterms:created>
  <dcterms:modified xsi:type="dcterms:W3CDTF">2026-02-17T01:21:00Z</dcterms:modified>
  <dc:language>pt-BR</dc:language>
</cp:coreProperties>
</file>