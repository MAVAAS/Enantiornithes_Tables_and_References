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8_{49977ED9-5FA0-41CE-B5E7-D324037E932F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Allan et al. (2014) dataset" sheetId="2" r:id="rId1"/>
    <sheet name="Table S6" sheetId="1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6" i="1" l="1"/>
  <c r="S96" i="1"/>
  <c r="S114" i="1"/>
  <c r="M121" i="1"/>
  <c r="N121" i="1" s="1"/>
  <c r="O121" i="1" s="1"/>
  <c r="P121" i="1" s="1"/>
  <c r="Q121" i="1" s="1"/>
  <c r="R121" i="1" s="1"/>
  <c r="F121" i="1"/>
  <c r="G121" i="1" s="1"/>
  <c r="H121" i="1" s="1"/>
  <c r="I121" i="1" s="1"/>
  <c r="J121" i="1" s="1"/>
  <c r="K121" i="1" s="1"/>
  <c r="S121" i="1" s="1"/>
  <c r="E119" i="1"/>
  <c r="F119" i="1" s="1"/>
  <c r="G119" i="1" s="1"/>
  <c r="H119" i="1" s="1"/>
  <c r="I119" i="1" s="1"/>
  <c r="J119" i="1" s="1"/>
  <c r="K119" i="1" s="1"/>
  <c r="S119" i="1" s="1"/>
  <c r="E120" i="1"/>
  <c r="F120" i="1" s="1"/>
  <c r="G120" i="1" s="1"/>
  <c r="H120" i="1" s="1"/>
  <c r="I120" i="1" s="1"/>
  <c r="J120" i="1" s="1"/>
  <c r="K120" i="1" s="1"/>
  <c r="S120" i="1" s="1"/>
  <c r="E121" i="1"/>
  <c r="W116" i="1"/>
  <c r="X116" i="1" s="1"/>
  <c r="Y116" i="1" s="1"/>
  <c r="Z116" i="1" s="1"/>
  <c r="AA116" i="1" s="1"/>
  <c r="M40" i="1"/>
  <c r="N40" i="1" s="1"/>
  <c r="O40" i="1" s="1"/>
  <c r="P40" i="1" s="1"/>
  <c r="Q40" i="1" s="1"/>
  <c r="R40" i="1" s="1"/>
  <c r="M42" i="1"/>
  <c r="N42" i="1" s="1"/>
  <c r="O42" i="1" s="1"/>
  <c r="P42" i="1" s="1"/>
  <c r="Q42" i="1" s="1"/>
  <c r="R42" i="1" s="1"/>
  <c r="M43" i="1"/>
  <c r="N43" i="1" s="1"/>
  <c r="O43" i="1" s="1"/>
  <c r="P43" i="1" s="1"/>
  <c r="Q43" i="1" s="1"/>
  <c r="R43" i="1" s="1"/>
  <c r="M64" i="1"/>
  <c r="N64" i="1" s="1"/>
  <c r="O64" i="1" s="1"/>
  <c r="P64" i="1" s="1"/>
  <c r="Q64" i="1" s="1"/>
  <c r="R64" i="1" s="1"/>
  <c r="M65" i="1"/>
  <c r="N65" i="1" s="1"/>
  <c r="O65" i="1" s="1"/>
  <c r="P65" i="1" s="1"/>
  <c r="Q65" i="1" s="1"/>
  <c r="R65" i="1" s="1"/>
  <c r="M74" i="1"/>
  <c r="N74" i="1" s="1"/>
  <c r="O74" i="1" s="1"/>
  <c r="P74" i="1" s="1"/>
  <c r="Q74" i="1" s="1"/>
  <c r="R74" i="1" s="1"/>
  <c r="M27" i="1"/>
  <c r="N27" i="1" s="1"/>
  <c r="O27" i="1" s="1"/>
  <c r="P27" i="1" s="1"/>
  <c r="Q27" i="1" s="1"/>
  <c r="R27" i="1" s="1"/>
  <c r="F27" i="1"/>
  <c r="G27" i="1" s="1"/>
  <c r="H27" i="1" s="1"/>
  <c r="I27" i="1" s="1"/>
  <c r="J27" i="1" s="1"/>
  <c r="K27" i="1" s="1"/>
  <c r="F40" i="1"/>
  <c r="G40" i="1" s="1"/>
  <c r="H40" i="1" s="1"/>
  <c r="I40" i="1" s="1"/>
  <c r="J40" i="1" s="1"/>
  <c r="K40" i="1" s="1"/>
  <c r="F42" i="1"/>
  <c r="G42" i="1" s="1"/>
  <c r="H42" i="1" s="1"/>
  <c r="I42" i="1" s="1"/>
  <c r="J42" i="1" s="1"/>
  <c r="K42" i="1" s="1"/>
  <c r="F43" i="1"/>
  <c r="G43" i="1" s="1"/>
  <c r="H43" i="1" s="1"/>
  <c r="I43" i="1" s="1"/>
  <c r="J43" i="1" s="1"/>
  <c r="K43" i="1" s="1"/>
  <c r="F64" i="1"/>
  <c r="G64" i="1" s="1"/>
  <c r="H64" i="1" s="1"/>
  <c r="I64" i="1" s="1"/>
  <c r="J64" i="1" s="1"/>
  <c r="K64" i="1" s="1"/>
  <c r="F65" i="1"/>
  <c r="G65" i="1" s="1"/>
  <c r="H65" i="1" s="1"/>
  <c r="I65" i="1" s="1"/>
  <c r="J65" i="1" s="1"/>
  <c r="K65" i="1" s="1"/>
  <c r="F74" i="1"/>
  <c r="G74" i="1" s="1"/>
  <c r="H74" i="1" s="1"/>
  <c r="I74" i="1" s="1"/>
  <c r="J74" i="1" s="1"/>
  <c r="K74" i="1" s="1"/>
  <c r="F96" i="1"/>
  <c r="G96" i="1" s="1"/>
  <c r="H96" i="1" s="1"/>
  <c r="I96" i="1" s="1"/>
  <c r="E115" i="1"/>
  <c r="F115" i="1" s="1"/>
  <c r="F15" i="2"/>
  <c r="G15" i="2" s="1"/>
  <c r="H15" i="2" s="1"/>
  <c r="I15" i="2" s="1"/>
  <c r="J15" i="2" s="1"/>
  <c r="F14" i="2"/>
  <c r="G14" i="2" s="1"/>
  <c r="H14" i="2" s="1"/>
  <c r="I14" i="2" s="1"/>
  <c r="J14" i="2" s="1"/>
  <c r="F13" i="2"/>
  <c r="G13" i="2" s="1"/>
  <c r="H13" i="2" s="1"/>
  <c r="I13" i="2" s="1"/>
  <c r="J13" i="2" s="1"/>
  <c r="F12" i="2"/>
  <c r="G12" i="2" s="1"/>
  <c r="H12" i="2" s="1"/>
  <c r="I12" i="2" s="1"/>
  <c r="J12" i="2" s="1"/>
  <c r="F11" i="2"/>
  <c r="G11" i="2" s="1"/>
  <c r="H11" i="2" s="1"/>
  <c r="I11" i="2" s="1"/>
  <c r="J11" i="2" s="1"/>
  <c r="F10" i="2"/>
  <c r="G10" i="2" s="1"/>
  <c r="H10" i="2" s="1"/>
  <c r="I10" i="2" s="1"/>
  <c r="J10" i="2" s="1"/>
  <c r="F9" i="2"/>
  <c r="G9" i="2" s="1"/>
  <c r="H9" i="2" s="1"/>
  <c r="I9" i="2" s="1"/>
  <c r="J9" i="2" s="1"/>
  <c r="F8" i="2"/>
  <c r="G8" i="2" s="1"/>
  <c r="H8" i="2" s="1"/>
  <c r="I8" i="2" s="1"/>
  <c r="J8" i="2" s="1"/>
  <c r="F7" i="2"/>
  <c r="G7" i="2" s="1"/>
  <c r="H7" i="2" s="1"/>
  <c r="I7" i="2" s="1"/>
  <c r="J7" i="2" s="1"/>
  <c r="F6" i="2"/>
  <c r="G6" i="2" s="1"/>
  <c r="H6" i="2" s="1"/>
  <c r="I6" i="2" s="1"/>
  <c r="J6" i="2" s="1"/>
  <c r="F5" i="2"/>
  <c r="G5" i="2" s="1"/>
  <c r="H5" i="2" s="1"/>
  <c r="I5" i="2" s="1"/>
  <c r="J5" i="2" s="1"/>
  <c r="F4" i="2"/>
  <c r="G4" i="2" s="1"/>
  <c r="H4" i="2" s="1"/>
  <c r="I4" i="2" s="1"/>
  <c r="J4" i="2" s="1"/>
  <c r="F3" i="2"/>
  <c r="G3" i="2" s="1"/>
  <c r="H3" i="2" s="1"/>
  <c r="I3" i="2" s="1"/>
  <c r="J3" i="2" s="1"/>
  <c r="F2" i="2"/>
  <c r="G2" i="2" s="1"/>
  <c r="H2" i="2" s="1"/>
  <c r="I2" i="2" s="1"/>
  <c r="J2" i="2" s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F78" i="1" s="1"/>
  <c r="G78" i="1" s="1"/>
  <c r="H78" i="1" s="1"/>
  <c r="I78" i="1" s="1"/>
  <c r="E77" i="1"/>
  <c r="F77" i="1" s="1"/>
  <c r="G77" i="1" s="1"/>
  <c r="H77" i="1" s="1"/>
  <c r="I77" i="1" s="1"/>
  <c r="E76" i="1"/>
  <c r="F76" i="1" s="1"/>
  <c r="G76" i="1" s="1"/>
  <c r="H76" i="1" s="1"/>
  <c r="I76" i="1" s="1"/>
  <c r="E75" i="1"/>
  <c r="E73" i="1"/>
  <c r="E72" i="1"/>
  <c r="E71" i="1"/>
  <c r="E70" i="1"/>
  <c r="E69" i="1"/>
  <c r="E68" i="1"/>
  <c r="E67" i="1"/>
  <c r="E66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1" i="1"/>
  <c r="E39" i="1"/>
  <c r="E38" i="1"/>
  <c r="F38" i="1" s="1"/>
  <c r="G38" i="1" s="1"/>
  <c r="H38" i="1" s="1"/>
  <c r="I38" i="1" s="1"/>
  <c r="E37" i="1"/>
  <c r="E36" i="1"/>
  <c r="E35" i="1"/>
  <c r="E34" i="1"/>
  <c r="E33" i="1"/>
  <c r="E32" i="1"/>
  <c r="E31" i="1"/>
  <c r="E30" i="1"/>
  <c r="E29" i="1"/>
  <c r="E28" i="1"/>
  <c r="E26" i="1"/>
  <c r="E25" i="1"/>
  <c r="E24" i="1"/>
  <c r="E23" i="1"/>
  <c r="E22" i="1"/>
  <c r="E21" i="1"/>
  <c r="E20" i="1"/>
  <c r="E19" i="1"/>
  <c r="E18" i="1"/>
  <c r="E17" i="1"/>
  <c r="E16" i="1"/>
  <c r="U14" i="1"/>
  <c r="V14" i="1" s="1"/>
  <c r="W14" i="1" s="1"/>
  <c r="X14" i="1" s="1"/>
  <c r="Y14" i="1" s="1"/>
  <c r="U13" i="1"/>
  <c r="E13" i="1"/>
  <c r="U12" i="1"/>
  <c r="E12" i="1"/>
  <c r="U11" i="1"/>
  <c r="E11" i="1"/>
  <c r="U10" i="1"/>
  <c r="E10" i="1"/>
  <c r="U9" i="1"/>
  <c r="E9" i="1"/>
  <c r="U8" i="1"/>
  <c r="V8" i="1" s="1"/>
  <c r="W8" i="1" s="1"/>
  <c r="X8" i="1" s="1"/>
  <c r="Y8" i="1" s="1"/>
  <c r="E8" i="1"/>
  <c r="E6" i="1"/>
  <c r="E5" i="1"/>
  <c r="U4" i="1"/>
  <c r="E4" i="1"/>
  <c r="U3" i="1"/>
  <c r="V3" i="1" s="1"/>
  <c r="E3" i="1"/>
  <c r="F3" i="1" s="1"/>
  <c r="S74" i="1" l="1"/>
  <c r="S27" i="1"/>
  <c r="S43" i="1"/>
  <c r="S42" i="1"/>
  <c r="S40" i="1"/>
  <c r="W3" i="1"/>
  <c r="X3" i="1" s="1"/>
  <c r="Y3" i="1" s="1"/>
  <c r="Z3" i="1" s="1"/>
  <c r="AA3" i="1" s="1"/>
  <c r="G3" i="1"/>
  <c r="H3" i="1" s="1"/>
  <c r="I3" i="1" s="1"/>
  <c r="J3" i="1" s="1"/>
  <c r="K3" i="1" s="1"/>
  <c r="S3" i="1" s="1"/>
  <c r="J76" i="1"/>
  <c r="K76" i="1" s="1"/>
  <c r="J38" i="1"/>
  <c r="K38" i="1" s="1"/>
  <c r="S38" i="1" s="1"/>
  <c r="J77" i="1"/>
  <c r="K77" i="1" s="1"/>
  <c r="S77" i="1" s="1"/>
  <c r="J78" i="1"/>
  <c r="K78" i="1" s="1"/>
  <c r="S78" i="1" s="1"/>
  <c r="F41" i="1"/>
  <c r="G41" i="1" s="1"/>
  <c r="H41" i="1" s="1"/>
  <c r="I41" i="1" s="1"/>
  <c r="J41" i="1" s="1"/>
  <c r="K41" i="1" s="1"/>
  <c r="S41" i="1" s="1"/>
  <c r="F113" i="1"/>
  <c r="G113" i="1" s="1"/>
  <c r="H113" i="1" s="1"/>
  <c r="I113" i="1" s="1"/>
  <c r="J113" i="1" s="1"/>
  <c r="K113" i="1" s="1"/>
  <c r="S113" i="1" s="1"/>
  <c r="F24" i="1"/>
  <c r="G24" i="1" s="1"/>
  <c r="H24" i="1" s="1"/>
  <c r="I24" i="1" s="1"/>
  <c r="J24" i="1" s="1"/>
  <c r="K24" i="1" s="1"/>
  <c r="S24" i="1" s="1"/>
  <c r="F59" i="1"/>
  <c r="G59" i="1" s="1"/>
  <c r="H59" i="1" s="1"/>
  <c r="I59" i="1" s="1"/>
  <c r="J59" i="1" s="1"/>
  <c r="K59" i="1" s="1"/>
  <c r="S59" i="1" s="1"/>
  <c r="F100" i="1"/>
  <c r="G100" i="1" s="1"/>
  <c r="H100" i="1" s="1"/>
  <c r="I100" i="1" s="1"/>
  <c r="J100" i="1" s="1"/>
  <c r="K100" i="1" s="1"/>
  <c r="S100" i="1" s="1"/>
  <c r="F99" i="1"/>
  <c r="G99" i="1" s="1"/>
  <c r="H99" i="1" s="1"/>
  <c r="I99" i="1" s="1"/>
  <c r="J99" i="1" s="1"/>
  <c r="K99" i="1" s="1"/>
  <c r="S99" i="1" s="1"/>
  <c r="F39" i="1"/>
  <c r="G39" i="1" s="1"/>
  <c r="H39" i="1" s="1"/>
  <c r="I39" i="1" s="1"/>
  <c r="J39" i="1" s="1"/>
  <c r="K39" i="1" s="1"/>
  <c r="S39" i="1" s="1"/>
  <c r="F98" i="1"/>
  <c r="G98" i="1" s="1"/>
  <c r="H98" i="1" s="1"/>
  <c r="I98" i="1" s="1"/>
  <c r="J98" i="1" s="1"/>
  <c r="K98" i="1" s="1"/>
  <c r="S98" i="1" s="1"/>
  <c r="F97" i="1"/>
  <c r="G97" i="1" s="1"/>
  <c r="H97" i="1" s="1"/>
  <c r="I97" i="1" s="1"/>
  <c r="J97" i="1" s="1"/>
  <c r="K97" i="1" s="1"/>
  <c r="S97" i="1" s="1"/>
  <c r="F63" i="1"/>
  <c r="G63" i="1" s="1"/>
  <c r="H63" i="1" s="1"/>
  <c r="I63" i="1" s="1"/>
  <c r="J63" i="1" s="1"/>
  <c r="K63" i="1" s="1"/>
  <c r="S63" i="1" s="1"/>
  <c r="F23" i="1"/>
  <c r="G23" i="1" s="1"/>
  <c r="H23" i="1" s="1"/>
  <c r="I23" i="1" s="1"/>
  <c r="J23" i="1" s="1"/>
  <c r="K23" i="1" s="1"/>
  <c r="S23" i="1" s="1"/>
  <c r="F21" i="1"/>
  <c r="G21" i="1" s="1"/>
  <c r="H21" i="1" s="1"/>
  <c r="I21" i="1" s="1"/>
  <c r="J21" i="1" s="1"/>
  <c r="K21" i="1" s="1"/>
  <c r="S21" i="1" s="1"/>
  <c r="F62" i="1"/>
  <c r="G62" i="1" s="1"/>
  <c r="H62" i="1" s="1"/>
  <c r="I62" i="1" s="1"/>
  <c r="J62" i="1" s="1"/>
  <c r="K62" i="1" s="1"/>
  <c r="S62" i="1" s="1"/>
  <c r="F75" i="1"/>
  <c r="G75" i="1" s="1"/>
  <c r="H75" i="1" s="1"/>
  <c r="I75" i="1" s="1"/>
  <c r="J75" i="1" s="1"/>
  <c r="K75" i="1" s="1"/>
  <c r="S75" i="1" s="1"/>
  <c r="F61" i="1"/>
  <c r="G61" i="1" s="1"/>
  <c r="H61" i="1" s="1"/>
  <c r="I61" i="1" s="1"/>
  <c r="J61" i="1" s="1"/>
  <c r="K61" i="1" s="1"/>
  <c r="S61" i="1" s="1"/>
  <c r="F37" i="1"/>
  <c r="G37" i="1" s="1"/>
  <c r="H37" i="1" s="1"/>
  <c r="I37" i="1" s="1"/>
  <c r="J37" i="1" s="1"/>
  <c r="K37" i="1" s="1"/>
  <c r="S37" i="1" s="1"/>
  <c r="F36" i="1"/>
  <c r="G36" i="1" s="1"/>
  <c r="H36" i="1" s="1"/>
  <c r="I36" i="1" s="1"/>
  <c r="J36" i="1" s="1"/>
  <c r="K36" i="1" s="1"/>
  <c r="S36" i="1" s="1"/>
  <c r="F22" i="1"/>
  <c r="G22" i="1" s="1"/>
  <c r="H22" i="1" s="1"/>
  <c r="I22" i="1" s="1"/>
  <c r="J22" i="1" s="1"/>
  <c r="K22" i="1" s="1"/>
  <c r="S22" i="1" s="1"/>
  <c r="F73" i="1"/>
  <c r="G73" i="1" s="1"/>
  <c r="H73" i="1" s="1"/>
  <c r="I73" i="1" s="1"/>
  <c r="J73" i="1" s="1"/>
  <c r="K73" i="1" s="1"/>
  <c r="S73" i="1" s="1"/>
  <c r="F60" i="1"/>
  <c r="G60" i="1" s="1"/>
  <c r="H60" i="1" s="1"/>
  <c r="I60" i="1" s="1"/>
  <c r="J60" i="1" s="1"/>
  <c r="K60" i="1" s="1"/>
  <c r="S60" i="1" s="1"/>
  <c r="F19" i="1"/>
  <c r="G19" i="1" s="1"/>
  <c r="H19" i="1" s="1"/>
  <c r="I19" i="1" s="1"/>
  <c r="J19" i="1" s="1"/>
  <c r="K19" i="1" s="1"/>
  <c r="S19" i="1" s="1"/>
  <c r="F95" i="1"/>
  <c r="G95" i="1" s="1"/>
  <c r="H95" i="1" s="1"/>
  <c r="I95" i="1" s="1"/>
  <c r="J95" i="1" s="1"/>
  <c r="K95" i="1" s="1"/>
  <c r="S95" i="1" s="1"/>
  <c r="F58" i="1"/>
  <c r="G58" i="1" s="1"/>
  <c r="H58" i="1" s="1"/>
  <c r="I58" i="1" s="1"/>
  <c r="J58" i="1" s="1"/>
  <c r="K58" i="1" s="1"/>
  <c r="S58" i="1" s="1"/>
  <c r="F18" i="1"/>
  <c r="G18" i="1" s="1"/>
  <c r="H18" i="1" s="1"/>
  <c r="I18" i="1" s="1"/>
  <c r="J18" i="1" s="1"/>
  <c r="K18" i="1" s="1"/>
  <c r="S18" i="1" s="1"/>
  <c r="F17" i="1"/>
  <c r="G17" i="1" s="1"/>
  <c r="H17" i="1" s="1"/>
  <c r="I17" i="1" s="1"/>
  <c r="J17" i="1" s="1"/>
  <c r="K17" i="1" s="1"/>
  <c r="S17" i="1" s="1"/>
  <c r="F93" i="1"/>
  <c r="G93" i="1" s="1"/>
  <c r="H93" i="1" s="1"/>
  <c r="I93" i="1" s="1"/>
  <c r="J93" i="1" s="1"/>
  <c r="K93" i="1" s="1"/>
  <c r="S93" i="1" s="1"/>
  <c r="F56" i="1"/>
  <c r="G56" i="1" s="1"/>
  <c r="H56" i="1" s="1"/>
  <c r="I56" i="1" s="1"/>
  <c r="J56" i="1" s="1"/>
  <c r="K56" i="1" s="1"/>
  <c r="S56" i="1" s="1"/>
  <c r="F57" i="1"/>
  <c r="G57" i="1" s="1"/>
  <c r="H57" i="1" s="1"/>
  <c r="I57" i="1" s="1"/>
  <c r="J57" i="1" s="1"/>
  <c r="K57" i="1" s="1"/>
  <c r="S57" i="1" s="1"/>
  <c r="F83" i="1"/>
  <c r="G83" i="1" s="1"/>
  <c r="H83" i="1" s="1"/>
  <c r="I83" i="1" s="1"/>
  <c r="J83" i="1" s="1"/>
  <c r="K83" i="1" s="1"/>
  <c r="S83" i="1" s="1"/>
  <c r="F55" i="1"/>
  <c r="G55" i="1" s="1"/>
  <c r="H55" i="1" s="1"/>
  <c r="I55" i="1" s="1"/>
  <c r="J55" i="1" s="1"/>
  <c r="K55" i="1" s="1"/>
  <c r="S55" i="1" s="1"/>
  <c r="F103" i="1"/>
  <c r="G103" i="1" s="1"/>
  <c r="H103" i="1" s="1"/>
  <c r="I103" i="1" s="1"/>
  <c r="J103" i="1" s="1"/>
  <c r="K103" i="1" s="1"/>
  <c r="S103" i="1" s="1"/>
  <c r="F82" i="1"/>
  <c r="G82" i="1" s="1"/>
  <c r="H82" i="1" s="1"/>
  <c r="I82" i="1" s="1"/>
  <c r="J82" i="1" s="1"/>
  <c r="K82" i="1" s="1"/>
  <c r="S82" i="1" s="1"/>
  <c r="F54" i="1"/>
  <c r="G54" i="1" s="1"/>
  <c r="H54" i="1" s="1"/>
  <c r="I54" i="1" s="1"/>
  <c r="J54" i="1" s="1"/>
  <c r="K54" i="1" s="1"/>
  <c r="S54" i="1" s="1"/>
  <c r="F80" i="1"/>
  <c r="G80" i="1" s="1"/>
  <c r="H80" i="1" s="1"/>
  <c r="I80" i="1" s="1"/>
  <c r="J80" i="1" s="1"/>
  <c r="K80" i="1" s="1"/>
  <c r="S80" i="1" s="1"/>
  <c r="F20" i="1"/>
  <c r="G20" i="1" s="1"/>
  <c r="H20" i="1" s="1"/>
  <c r="I20" i="1" s="1"/>
  <c r="J20" i="1" s="1"/>
  <c r="K20" i="1" s="1"/>
  <c r="S20" i="1" s="1"/>
  <c r="F94" i="1"/>
  <c r="G94" i="1" s="1"/>
  <c r="H94" i="1" s="1"/>
  <c r="I94" i="1" s="1"/>
  <c r="J94" i="1" s="1"/>
  <c r="K94" i="1" s="1"/>
  <c r="S94" i="1" s="1"/>
  <c r="F79" i="1"/>
  <c r="G79" i="1" s="1"/>
  <c r="H79" i="1" s="1"/>
  <c r="I79" i="1" s="1"/>
  <c r="J79" i="1" s="1"/>
  <c r="K79" i="1" s="1"/>
  <c r="S79" i="1" s="1"/>
  <c r="F53" i="1"/>
  <c r="G53" i="1" s="1"/>
  <c r="H53" i="1" s="1"/>
  <c r="I53" i="1" s="1"/>
  <c r="J53" i="1" s="1"/>
  <c r="K53" i="1" s="1"/>
  <c r="S53" i="1" s="1"/>
  <c r="F12" i="1"/>
  <c r="G12" i="1" s="1"/>
  <c r="H12" i="1" s="1"/>
  <c r="I12" i="1" s="1"/>
  <c r="J12" i="1" s="1"/>
  <c r="K12" i="1" s="1"/>
  <c r="S12" i="1" s="1"/>
  <c r="F111" i="1"/>
  <c r="G111" i="1" s="1"/>
  <c r="H111" i="1" s="1"/>
  <c r="I111" i="1" s="1"/>
  <c r="J111" i="1" s="1"/>
  <c r="K111" i="1" s="1"/>
  <c r="S111" i="1" s="1"/>
  <c r="F91" i="1"/>
  <c r="G91" i="1" s="1"/>
  <c r="H91" i="1" s="1"/>
  <c r="I91" i="1" s="1"/>
  <c r="J91" i="1" s="1"/>
  <c r="K91" i="1" s="1"/>
  <c r="S91" i="1" s="1"/>
  <c r="F71" i="1"/>
  <c r="G71" i="1" s="1"/>
  <c r="H71" i="1" s="1"/>
  <c r="I71" i="1" s="1"/>
  <c r="J71" i="1" s="1"/>
  <c r="K71" i="1" s="1"/>
  <c r="S71" i="1" s="1"/>
  <c r="F51" i="1"/>
  <c r="G51" i="1" s="1"/>
  <c r="H51" i="1" s="1"/>
  <c r="I51" i="1" s="1"/>
  <c r="J51" i="1" s="1"/>
  <c r="K51" i="1" s="1"/>
  <c r="S51" i="1" s="1"/>
  <c r="F31" i="1"/>
  <c r="G31" i="1" s="1"/>
  <c r="H31" i="1" s="1"/>
  <c r="I31" i="1" s="1"/>
  <c r="J31" i="1" s="1"/>
  <c r="K31" i="1" s="1"/>
  <c r="S31" i="1" s="1"/>
  <c r="F11" i="1"/>
  <c r="G11" i="1" s="1"/>
  <c r="H11" i="1" s="1"/>
  <c r="I11" i="1" s="1"/>
  <c r="J11" i="1" s="1"/>
  <c r="K11" i="1" s="1"/>
  <c r="S11" i="1" s="1"/>
  <c r="F33" i="1"/>
  <c r="G33" i="1" s="1"/>
  <c r="H33" i="1" s="1"/>
  <c r="I33" i="1" s="1"/>
  <c r="J33" i="1" s="1"/>
  <c r="K33" i="1" s="1"/>
  <c r="S33" i="1" s="1"/>
  <c r="F32" i="1"/>
  <c r="G32" i="1" s="1"/>
  <c r="H32" i="1" s="1"/>
  <c r="I32" i="1" s="1"/>
  <c r="J32" i="1" s="1"/>
  <c r="K32" i="1" s="1"/>
  <c r="S32" i="1" s="1"/>
  <c r="F110" i="1"/>
  <c r="G110" i="1" s="1"/>
  <c r="H110" i="1" s="1"/>
  <c r="I110" i="1" s="1"/>
  <c r="J110" i="1" s="1"/>
  <c r="K110" i="1" s="1"/>
  <c r="S110" i="1" s="1"/>
  <c r="F90" i="1"/>
  <c r="G90" i="1" s="1"/>
  <c r="H90" i="1" s="1"/>
  <c r="I90" i="1" s="1"/>
  <c r="J90" i="1" s="1"/>
  <c r="K90" i="1" s="1"/>
  <c r="S90" i="1" s="1"/>
  <c r="F70" i="1"/>
  <c r="G70" i="1" s="1"/>
  <c r="H70" i="1" s="1"/>
  <c r="I70" i="1" s="1"/>
  <c r="J70" i="1" s="1"/>
  <c r="K70" i="1" s="1"/>
  <c r="S70" i="1" s="1"/>
  <c r="F50" i="1"/>
  <c r="G50" i="1" s="1"/>
  <c r="H50" i="1" s="1"/>
  <c r="I50" i="1" s="1"/>
  <c r="J50" i="1" s="1"/>
  <c r="K50" i="1" s="1"/>
  <c r="S50" i="1" s="1"/>
  <c r="F30" i="1"/>
  <c r="G30" i="1" s="1"/>
  <c r="H30" i="1" s="1"/>
  <c r="I30" i="1" s="1"/>
  <c r="J30" i="1" s="1"/>
  <c r="K30" i="1" s="1"/>
  <c r="S30" i="1" s="1"/>
  <c r="F10" i="1"/>
  <c r="G10" i="1" s="1"/>
  <c r="H10" i="1" s="1"/>
  <c r="I10" i="1" s="1"/>
  <c r="J10" i="1" s="1"/>
  <c r="K10" i="1" s="1"/>
  <c r="S10" i="1" s="1"/>
  <c r="F109" i="1"/>
  <c r="G109" i="1" s="1"/>
  <c r="H109" i="1" s="1"/>
  <c r="I109" i="1" s="1"/>
  <c r="J109" i="1" s="1"/>
  <c r="K109" i="1" s="1"/>
  <c r="S109" i="1" s="1"/>
  <c r="F89" i="1"/>
  <c r="G89" i="1" s="1"/>
  <c r="H89" i="1" s="1"/>
  <c r="I89" i="1" s="1"/>
  <c r="J89" i="1" s="1"/>
  <c r="K89" i="1" s="1"/>
  <c r="S89" i="1" s="1"/>
  <c r="F69" i="1"/>
  <c r="G69" i="1" s="1"/>
  <c r="H69" i="1" s="1"/>
  <c r="I69" i="1" s="1"/>
  <c r="J69" i="1" s="1"/>
  <c r="K69" i="1" s="1"/>
  <c r="S69" i="1" s="1"/>
  <c r="F49" i="1"/>
  <c r="G49" i="1" s="1"/>
  <c r="H49" i="1" s="1"/>
  <c r="I49" i="1" s="1"/>
  <c r="J49" i="1" s="1"/>
  <c r="K49" i="1" s="1"/>
  <c r="S49" i="1" s="1"/>
  <c r="F29" i="1"/>
  <c r="G29" i="1" s="1"/>
  <c r="H29" i="1" s="1"/>
  <c r="I29" i="1" s="1"/>
  <c r="J29" i="1" s="1"/>
  <c r="K29" i="1" s="1"/>
  <c r="S29" i="1" s="1"/>
  <c r="F9" i="1"/>
  <c r="G9" i="1" s="1"/>
  <c r="H9" i="1" s="1"/>
  <c r="I9" i="1" s="1"/>
  <c r="J9" i="1" s="1"/>
  <c r="K9" i="1" s="1"/>
  <c r="S9" i="1" s="1"/>
  <c r="F112" i="1"/>
  <c r="G112" i="1" s="1"/>
  <c r="H112" i="1" s="1"/>
  <c r="I112" i="1" s="1"/>
  <c r="J112" i="1" s="1"/>
  <c r="K112" i="1" s="1"/>
  <c r="S112" i="1" s="1"/>
  <c r="F108" i="1"/>
  <c r="G108" i="1" s="1"/>
  <c r="H108" i="1" s="1"/>
  <c r="I108" i="1" s="1"/>
  <c r="J108" i="1" s="1"/>
  <c r="K108" i="1" s="1"/>
  <c r="S108" i="1" s="1"/>
  <c r="F88" i="1"/>
  <c r="G88" i="1" s="1"/>
  <c r="H88" i="1" s="1"/>
  <c r="I88" i="1" s="1"/>
  <c r="J88" i="1" s="1"/>
  <c r="K88" i="1" s="1"/>
  <c r="S88" i="1" s="1"/>
  <c r="F68" i="1"/>
  <c r="G68" i="1" s="1"/>
  <c r="H68" i="1" s="1"/>
  <c r="I68" i="1" s="1"/>
  <c r="J68" i="1" s="1"/>
  <c r="K68" i="1" s="1"/>
  <c r="S68" i="1" s="1"/>
  <c r="F48" i="1"/>
  <c r="G48" i="1" s="1"/>
  <c r="H48" i="1" s="1"/>
  <c r="I48" i="1" s="1"/>
  <c r="J48" i="1" s="1"/>
  <c r="K48" i="1" s="1"/>
  <c r="S48" i="1" s="1"/>
  <c r="F28" i="1"/>
  <c r="G28" i="1" s="1"/>
  <c r="H28" i="1" s="1"/>
  <c r="I28" i="1" s="1"/>
  <c r="J28" i="1" s="1"/>
  <c r="K28" i="1" s="1"/>
  <c r="S28" i="1" s="1"/>
  <c r="F8" i="1"/>
  <c r="G8" i="1" s="1"/>
  <c r="H8" i="1" s="1"/>
  <c r="I8" i="1" s="1"/>
  <c r="J8" i="1" s="1"/>
  <c r="K8" i="1" s="1"/>
  <c r="S8" i="1" s="1"/>
  <c r="F34" i="1"/>
  <c r="G34" i="1" s="1"/>
  <c r="H34" i="1" s="1"/>
  <c r="I34" i="1" s="1"/>
  <c r="J34" i="1" s="1"/>
  <c r="K34" i="1" s="1"/>
  <c r="S34" i="1" s="1"/>
  <c r="F52" i="1"/>
  <c r="G52" i="1" s="1"/>
  <c r="H52" i="1" s="1"/>
  <c r="I52" i="1" s="1"/>
  <c r="J52" i="1" s="1"/>
  <c r="K52" i="1" s="1"/>
  <c r="S52" i="1" s="1"/>
  <c r="F107" i="1"/>
  <c r="G107" i="1" s="1"/>
  <c r="H107" i="1" s="1"/>
  <c r="I107" i="1" s="1"/>
  <c r="J107" i="1" s="1"/>
  <c r="K107" i="1" s="1"/>
  <c r="S107" i="1" s="1"/>
  <c r="F87" i="1"/>
  <c r="G87" i="1" s="1"/>
  <c r="H87" i="1" s="1"/>
  <c r="I87" i="1" s="1"/>
  <c r="J87" i="1" s="1"/>
  <c r="K87" i="1" s="1"/>
  <c r="S87" i="1" s="1"/>
  <c r="F67" i="1"/>
  <c r="G67" i="1" s="1"/>
  <c r="H67" i="1" s="1"/>
  <c r="I67" i="1" s="1"/>
  <c r="J67" i="1" s="1"/>
  <c r="K67" i="1" s="1"/>
  <c r="S67" i="1" s="1"/>
  <c r="F47" i="1"/>
  <c r="G47" i="1" s="1"/>
  <c r="H47" i="1" s="1"/>
  <c r="I47" i="1" s="1"/>
  <c r="J47" i="1" s="1"/>
  <c r="K47" i="1" s="1"/>
  <c r="S47" i="1" s="1"/>
  <c r="F92" i="1"/>
  <c r="G92" i="1" s="1"/>
  <c r="H92" i="1" s="1"/>
  <c r="I92" i="1" s="1"/>
  <c r="J92" i="1" s="1"/>
  <c r="K92" i="1" s="1"/>
  <c r="S92" i="1" s="1"/>
  <c r="F106" i="1"/>
  <c r="G106" i="1" s="1"/>
  <c r="H106" i="1" s="1"/>
  <c r="I106" i="1" s="1"/>
  <c r="J106" i="1" s="1"/>
  <c r="K106" i="1" s="1"/>
  <c r="S106" i="1" s="1"/>
  <c r="F86" i="1"/>
  <c r="G86" i="1" s="1"/>
  <c r="H86" i="1" s="1"/>
  <c r="I86" i="1" s="1"/>
  <c r="J86" i="1" s="1"/>
  <c r="K86" i="1" s="1"/>
  <c r="S86" i="1" s="1"/>
  <c r="F66" i="1"/>
  <c r="G66" i="1" s="1"/>
  <c r="H66" i="1" s="1"/>
  <c r="I66" i="1" s="1"/>
  <c r="J66" i="1" s="1"/>
  <c r="K66" i="1" s="1"/>
  <c r="S66" i="1" s="1"/>
  <c r="F46" i="1"/>
  <c r="G46" i="1" s="1"/>
  <c r="H46" i="1" s="1"/>
  <c r="I46" i="1" s="1"/>
  <c r="J46" i="1" s="1"/>
  <c r="K46" i="1" s="1"/>
  <c r="S46" i="1" s="1"/>
  <c r="F26" i="1"/>
  <c r="G26" i="1" s="1"/>
  <c r="H26" i="1" s="1"/>
  <c r="I26" i="1" s="1"/>
  <c r="J26" i="1" s="1"/>
  <c r="K26" i="1" s="1"/>
  <c r="S26" i="1" s="1"/>
  <c r="F6" i="1"/>
  <c r="G6" i="1" s="1"/>
  <c r="H6" i="1" s="1"/>
  <c r="I6" i="1" s="1"/>
  <c r="J6" i="1" s="1"/>
  <c r="K6" i="1" s="1"/>
  <c r="S6" i="1" s="1"/>
  <c r="F81" i="1"/>
  <c r="G81" i="1" s="1"/>
  <c r="H81" i="1" s="1"/>
  <c r="I81" i="1" s="1"/>
  <c r="J81" i="1" s="1"/>
  <c r="K81" i="1" s="1"/>
  <c r="S81" i="1" s="1"/>
  <c r="F16" i="1"/>
  <c r="G16" i="1" s="1"/>
  <c r="H16" i="1" s="1"/>
  <c r="I16" i="1" s="1"/>
  <c r="J16" i="1" s="1"/>
  <c r="K16" i="1" s="1"/>
  <c r="S16" i="1" s="1"/>
  <c r="G115" i="1"/>
  <c r="H115" i="1" s="1"/>
  <c r="I115" i="1" s="1"/>
  <c r="J115" i="1" s="1"/>
  <c r="K115" i="1" s="1"/>
  <c r="S115" i="1" s="1"/>
  <c r="F13" i="1"/>
  <c r="G13" i="1" s="1"/>
  <c r="H13" i="1" s="1"/>
  <c r="I13" i="1" s="1"/>
  <c r="J13" i="1" s="1"/>
  <c r="K13" i="1" s="1"/>
  <c r="S13" i="1" s="1"/>
  <c r="F72" i="1"/>
  <c r="G72" i="1" s="1"/>
  <c r="H72" i="1" s="1"/>
  <c r="I72" i="1" s="1"/>
  <c r="J72" i="1" s="1"/>
  <c r="K72" i="1" s="1"/>
  <c r="S72" i="1" s="1"/>
  <c r="F105" i="1"/>
  <c r="G105" i="1" s="1"/>
  <c r="H105" i="1" s="1"/>
  <c r="I105" i="1" s="1"/>
  <c r="J105" i="1" s="1"/>
  <c r="K105" i="1" s="1"/>
  <c r="S105" i="1" s="1"/>
  <c r="F85" i="1"/>
  <c r="G85" i="1" s="1"/>
  <c r="H85" i="1" s="1"/>
  <c r="I85" i="1" s="1"/>
  <c r="J85" i="1" s="1"/>
  <c r="K85" i="1" s="1"/>
  <c r="S85" i="1" s="1"/>
  <c r="F45" i="1"/>
  <c r="G45" i="1" s="1"/>
  <c r="H45" i="1" s="1"/>
  <c r="I45" i="1" s="1"/>
  <c r="J45" i="1" s="1"/>
  <c r="K45" i="1" s="1"/>
  <c r="S45" i="1" s="1"/>
  <c r="F25" i="1"/>
  <c r="G25" i="1" s="1"/>
  <c r="H25" i="1" s="1"/>
  <c r="I25" i="1" s="1"/>
  <c r="J25" i="1" s="1"/>
  <c r="K25" i="1" s="1"/>
  <c r="S25" i="1" s="1"/>
  <c r="F5" i="1"/>
  <c r="G5" i="1" s="1"/>
  <c r="H5" i="1" s="1"/>
  <c r="I5" i="1" s="1"/>
  <c r="J5" i="1" s="1"/>
  <c r="K5" i="1" s="1"/>
  <c r="S5" i="1" s="1"/>
  <c r="F102" i="1"/>
  <c r="G102" i="1" s="1"/>
  <c r="H102" i="1" s="1"/>
  <c r="I102" i="1" s="1"/>
  <c r="J102" i="1" s="1"/>
  <c r="K102" i="1" s="1"/>
  <c r="S102" i="1" s="1"/>
  <c r="F101" i="1"/>
  <c r="G101" i="1" s="1"/>
  <c r="H101" i="1" s="1"/>
  <c r="I101" i="1" s="1"/>
  <c r="J101" i="1" s="1"/>
  <c r="K101" i="1" s="1"/>
  <c r="S101" i="1" s="1"/>
  <c r="F35" i="1"/>
  <c r="G35" i="1" s="1"/>
  <c r="H35" i="1" s="1"/>
  <c r="I35" i="1" s="1"/>
  <c r="J35" i="1" s="1"/>
  <c r="K35" i="1" s="1"/>
  <c r="S35" i="1" s="1"/>
  <c r="F104" i="1"/>
  <c r="G104" i="1" s="1"/>
  <c r="H104" i="1" s="1"/>
  <c r="I104" i="1" s="1"/>
  <c r="J104" i="1" s="1"/>
  <c r="K104" i="1" s="1"/>
  <c r="S104" i="1" s="1"/>
  <c r="F84" i="1"/>
  <c r="G84" i="1" s="1"/>
  <c r="H84" i="1" s="1"/>
  <c r="I84" i="1" s="1"/>
  <c r="J84" i="1" s="1"/>
  <c r="K84" i="1" s="1"/>
  <c r="S84" i="1" s="1"/>
  <c r="F44" i="1"/>
  <c r="G44" i="1" s="1"/>
  <c r="H44" i="1" s="1"/>
  <c r="I44" i="1" s="1"/>
  <c r="J44" i="1" s="1"/>
  <c r="K44" i="1" s="1"/>
  <c r="S44" i="1" s="1"/>
  <c r="F4" i="1"/>
  <c r="G4" i="1" s="1"/>
  <c r="H4" i="1" s="1"/>
  <c r="I4" i="1" s="1"/>
  <c r="J4" i="1" s="1"/>
  <c r="K4" i="1" s="1"/>
  <c r="S4" i="1" s="1"/>
  <c r="Z8" i="1"/>
  <c r="AA8" i="1" s="1"/>
  <c r="Z14" i="1"/>
  <c r="AA14" i="1" s="1"/>
  <c r="V13" i="1"/>
  <c r="W13" i="1" s="1"/>
  <c r="X13" i="1" s="1"/>
  <c r="Y13" i="1" s="1"/>
  <c r="Z13" i="1" s="1"/>
  <c r="AA13" i="1" s="1"/>
  <c r="V12" i="1"/>
  <c r="W12" i="1" s="1"/>
  <c r="X12" i="1" s="1"/>
  <c r="Y12" i="1" s="1"/>
  <c r="Z12" i="1" s="1"/>
  <c r="AA12" i="1" s="1"/>
  <c r="V11" i="1"/>
  <c r="W11" i="1" s="1"/>
  <c r="X11" i="1" s="1"/>
  <c r="Y11" i="1" s="1"/>
  <c r="Z11" i="1" s="1"/>
  <c r="AA11" i="1" s="1"/>
  <c r="V10" i="1"/>
  <c r="W10" i="1" s="1"/>
  <c r="X10" i="1" s="1"/>
  <c r="Y10" i="1" s="1"/>
  <c r="Z10" i="1" s="1"/>
  <c r="AA10" i="1" s="1"/>
  <c r="V9" i="1"/>
  <c r="W9" i="1" s="1"/>
  <c r="X9" i="1" s="1"/>
  <c r="Y9" i="1" s="1"/>
  <c r="Z9" i="1" s="1"/>
  <c r="AA9" i="1" s="1"/>
  <c r="V4" i="1"/>
  <c r="W4" i="1" s="1"/>
  <c r="X4" i="1" s="1"/>
  <c r="Y4" i="1" s="1"/>
  <c r="Z4" i="1" s="1"/>
  <c r="AA4" i="1" s="1"/>
  <c r="S65" i="1"/>
  <c r="S64" i="1"/>
</calcChain>
</file>

<file path=xl/sharedStrings.xml><?xml version="1.0" encoding="utf-8"?>
<sst xmlns="http://schemas.openxmlformats.org/spreadsheetml/2006/main" count="348" uniqueCount="306">
  <si>
    <t>Species</t>
  </si>
  <si>
    <t xml:space="preserve">Q̇ cm3 s-1 (Q̇= 10^X) </t>
  </si>
  <si>
    <t>MAUV</t>
  </si>
  <si>
    <t>Glaucidium brasilianum</t>
  </si>
  <si>
    <t>MAUV-3898</t>
  </si>
  <si>
    <t>Coturnix coturnix</t>
  </si>
  <si>
    <t>MAUV-7112</t>
  </si>
  <si>
    <t>Tadorna ferruginea</t>
  </si>
  <si>
    <t>MAUV-309</t>
  </si>
  <si>
    <t>-</t>
  </si>
  <si>
    <t>Tadorna tadorna</t>
  </si>
  <si>
    <t>MAUV-3946</t>
  </si>
  <si>
    <t>MNCN</t>
  </si>
  <si>
    <t>Anas crecca</t>
  </si>
  <si>
    <t>MNCN 23608</t>
  </si>
  <si>
    <t>Alcedo atthis</t>
  </si>
  <si>
    <t>MNCN 23141</t>
  </si>
  <si>
    <t xml:space="preserve">Morus bassanus </t>
  </si>
  <si>
    <t>MNCN 19997</t>
  </si>
  <si>
    <t xml:space="preserve">Sturnus unicolor </t>
  </si>
  <si>
    <t>MNCN 26971</t>
  </si>
  <si>
    <t>*</t>
  </si>
  <si>
    <t xml:space="preserve">two foramens </t>
  </si>
  <si>
    <t>Tachybaptus ruficollis</t>
  </si>
  <si>
    <t>MNCN 26997</t>
  </si>
  <si>
    <t>Rallus aquaticus</t>
  </si>
  <si>
    <t>MNCN 18802</t>
  </si>
  <si>
    <t>Museo Anatómico Universidad Valladolid, Spain</t>
  </si>
  <si>
    <t>Emberiza schoeniclus</t>
  </si>
  <si>
    <t xml:space="preserve">MNCN 18940 </t>
  </si>
  <si>
    <t>Museo Nacional de Ciencias Naturales, Madrid, Spain</t>
  </si>
  <si>
    <t xml:space="preserve">UWBM </t>
  </si>
  <si>
    <t>UWBM</t>
  </si>
  <si>
    <t>Burke Museum at University of Washington, Seattle, U.S.A</t>
  </si>
  <si>
    <t>UWBM 63315</t>
  </si>
  <si>
    <t>LACNHM</t>
  </si>
  <si>
    <t>Natural history Museum of Los Angeles County, CA, U.S.A</t>
  </si>
  <si>
    <t>Aegotheles cristatus</t>
  </si>
  <si>
    <t>UWBM 62800</t>
  </si>
  <si>
    <t>Anas strepera</t>
  </si>
  <si>
    <t>UWBM 65153</t>
  </si>
  <si>
    <t>Accipiter gentilis</t>
  </si>
  <si>
    <t>UWBM 80189</t>
  </si>
  <si>
    <t>Aechmophorus clarkii</t>
  </si>
  <si>
    <t>UWBM 76789</t>
  </si>
  <si>
    <t>Aegolius funereus</t>
  </si>
  <si>
    <t>UWBM 44737</t>
  </si>
  <si>
    <t>Platalea ajaja (=Ajaia ajaja)</t>
  </si>
  <si>
    <t>UWBM 45811</t>
  </si>
  <si>
    <t>Aquila chrysaetos</t>
  </si>
  <si>
    <t>UWBM 59391</t>
  </si>
  <si>
    <t>Asio otus</t>
  </si>
  <si>
    <t>UWBM 56706</t>
  </si>
  <si>
    <t>Aythya collaris</t>
  </si>
  <si>
    <t>UWBM 41671</t>
  </si>
  <si>
    <t>Branta canadensis</t>
  </si>
  <si>
    <t>UWBM 50691</t>
  </si>
  <si>
    <t>Balearica regulorum*</t>
  </si>
  <si>
    <t>UWBM 66265</t>
  </si>
  <si>
    <t>0.65/0.32</t>
  </si>
  <si>
    <t>Bubo virginianus</t>
  </si>
  <si>
    <t>UWBM 76759</t>
  </si>
  <si>
    <t>Caprimulgus carolinensis</t>
  </si>
  <si>
    <t>UWBM 87389</t>
  </si>
  <si>
    <t>Coracias garrulus</t>
  </si>
  <si>
    <t>UWBM 56485</t>
  </si>
  <si>
    <t>Cygnus olor</t>
  </si>
  <si>
    <t>UWBM 56585</t>
  </si>
  <si>
    <t>Columba rupestris</t>
  </si>
  <si>
    <t>UWBM 59986</t>
  </si>
  <si>
    <t>Cathartes aura</t>
  </si>
  <si>
    <t>UWBM 76117</t>
  </si>
  <si>
    <t>Cacatua alba</t>
  </si>
  <si>
    <t>UWBM 82950</t>
  </si>
  <si>
    <t>Centropus milo</t>
  </si>
  <si>
    <t>UWBM 66047</t>
  </si>
  <si>
    <t>Charadrius dubius</t>
  </si>
  <si>
    <t>UWBM 56904</t>
  </si>
  <si>
    <t>Chordeiles minor</t>
  </si>
  <si>
    <t>UWBM 59297</t>
  </si>
  <si>
    <t>Chlidonias niger</t>
  </si>
  <si>
    <t>UWBM 56898</t>
  </si>
  <si>
    <t>Circus aeruginosus</t>
  </si>
  <si>
    <t>UWBM 56456</t>
  </si>
  <si>
    <t>Corythaixoides concolor</t>
  </si>
  <si>
    <t>UWBM 52910</t>
  </si>
  <si>
    <t>0.21 / 0.23</t>
  </si>
  <si>
    <t>Corythaixoides concolor*</t>
  </si>
  <si>
    <t>UWBM 53060</t>
  </si>
  <si>
    <t>Corvus corax*</t>
  </si>
  <si>
    <t>UWBM 59566</t>
  </si>
  <si>
    <t>0.57 / 0.51</t>
  </si>
  <si>
    <t>UWBM 64779</t>
  </si>
  <si>
    <t>0.44 / 0.4</t>
  </si>
  <si>
    <t>Cotournix cotournix</t>
  </si>
  <si>
    <t>UWBM 64806</t>
  </si>
  <si>
    <t>Dacelo novaeguineae</t>
  </si>
  <si>
    <t>UWBM 62803</t>
  </si>
  <si>
    <t>Ducula rubricera</t>
  </si>
  <si>
    <t>UWBM 58730</t>
  </si>
  <si>
    <t>UWBM 63088</t>
  </si>
  <si>
    <t xml:space="preserve">Diomedea exulans </t>
  </si>
  <si>
    <t>UWBM 81036</t>
  </si>
  <si>
    <t>UWBM 81038</t>
  </si>
  <si>
    <t>UWBM 82780</t>
  </si>
  <si>
    <t>Eolophus roseicapillus</t>
  </si>
  <si>
    <t>UWBM 57644</t>
  </si>
  <si>
    <t>Egretta sacra</t>
  </si>
  <si>
    <t>UWBM 42502</t>
  </si>
  <si>
    <t>UWBM 56856</t>
  </si>
  <si>
    <t>Eudyptula minor</t>
  </si>
  <si>
    <t>UWBM 80409</t>
  </si>
  <si>
    <t>Falco peregrinus</t>
  </si>
  <si>
    <t>UWBM 78840</t>
  </si>
  <si>
    <t xml:space="preserve">Fregatta minor </t>
  </si>
  <si>
    <t>UWBM 65825</t>
  </si>
  <si>
    <t>Fulmarus glacialoides</t>
  </si>
  <si>
    <t>UWBM 38024</t>
  </si>
  <si>
    <t>Gavia adamsii</t>
  </si>
  <si>
    <t>UWBM 57001</t>
  </si>
  <si>
    <t>Gallicrex cinerea</t>
  </si>
  <si>
    <t>UWBM 64904</t>
  </si>
  <si>
    <t>Grus canadensis</t>
  </si>
  <si>
    <t>UWBM 85110</t>
  </si>
  <si>
    <t>Grus rubicunda</t>
  </si>
  <si>
    <t>UWBM 66956</t>
  </si>
  <si>
    <t>Himantopus himantopus</t>
  </si>
  <si>
    <t>UWBM 60150</t>
  </si>
  <si>
    <t>Haliaeetus leucocephalus</t>
  </si>
  <si>
    <t>UWBM 33937</t>
  </si>
  <si>
    <t>Ixobrychus eurhythmus*</t>
  </si>
  <si>
    <t>UWBM 47044</t>
  </si>
  <si>
    <t>0.15 / 0.08</t>
  </si>
  <si>
    <t>Larus argentatus*</t>
  </si>
  <si>
    <t>UWBM 56577</t>
  </si>
  <si>
    <t>0.32 / 0.38</t>
  </si>
  <si>
    <t>Merops apiaster</t>
  </si>
  <si>
    <t>UWBM 56657</t>
  </si>
  <si>
    <t>Mergus merganser</t>
  </si>
  <si>
    <t>UWBM 33031</t>
  </si>
  <si>
    <t>Megapodius freycinet</t>
  </si>
  <si>
    <t>UWBM 60327</t>
  </si>
  <si>
    <t>Meleagris gallopavo</t>
  </si>
  <si>
    <t>UWBM 43397</t>
  </si>
  <si>
    <t>Mycteria leucocephala</t>
  </si>
  <si>
    <t>UWBM 82954</t>
  </si>
  <si>
    <t>Oxyura jamaicensis</t>
  </si>
  <si>
    <t>UWBM 33103</t>
  </si>
  <si>
    <t>Podargus strigoides</t>
  </si>
  <si>
    <t>UWBM 62802</t>
  </si>
  <si>
    <t>Pandion haliaetus</t>
  </si>
  <si>
    <t>UWBM 63002</t>
  </si>
  <si>
    <t>Pandion haliaetus*</t>
  </si>
  <si>
    <t>UWBM 79102</t>
  </si>
  <si>
    <t>0.38 / 0.44</t>
  </si>
  <si>
    <t>Pelecanus erythrorhynchus</t>
  </si>
  <si>
    <t>UWBM 59227</t>
  </si>
  <si>
    <t>Pelecanus occidentalis</t>
  </si>
  <si>
    <t>UWBM 39588</t>
  </si>
  <si>
    <t>Perdix perdix</t>
  </si>
  <si>
    <t>UWBM 56882</t>
  </si>
  <si>
    <t>Pelecanoides urinatrix</t>
  </si>
  <si>
    <t>UWBM 60504</t>
  </si>
  <si>
    <t>Phalacrocorax carbo</t>
  </si>
  <si>
    <t>UWBM 59908</t>
  </si>
  <si>
    <t>Diomedea immutabilis (=Phoebastria)</t>
  </si>
  <si>
    <t>UWBM 33201</t>
  </si>
  <si>
    <t>Phalacrocorax olivaceus</t>
  </si>
  <si>
    <t>UWBM 45751</t>
  </si>
  <si>
    <t>Plegadis chihi</t>
  </si>
  <si>
    <t>UWBM 59269</t>
  </si>
  <si>
    <t>Podiceps cristatus</t>
  </si>
  <si>
    <t>UWBM 46892</t>
  </si>
  <si>
    <t>Porphyrio porphyrio</t>
  </si>
  <si>
    <t>UWBM 63060</t>
  </si>
  <si>
    <t>Puffinus griseus</t>
  </si>
  <si>
    <t>UWBM 85392</t>
  </si>
  <si>
    <t>Puffinus pacificus</t>
  </si>
  <si>
    <t>UWBM 68952</t>
  </si>
  <si>
    <t>Pygoscelis antarctica</t>
  </si>
  <si>
    <t>UWBM 38043</t>
  </si>
  <si>
    <t>Rynchops niger</t>
  </si>
  <si>
    <t>UWBM 36014</t>
  </si>
  <si>
    <t>Thalasseus maximus (=Sterna maxima)</t>
  </si>
  <si>
    <t>UWBM 45436</t>
  </si>
  <si>
    <t>Strix occidentalis</t>
  </si>
  <si>
    <t>UWBM 47929</t>
  </si>
  <si>
    <t>Stercorarius pomarinus</t>
  </si>
  <si>
    <t>UWBM 49166</t>
  </si>
  <si>
    <t>Tetrao parvirostris</t>
  </si>
  <si>
    <t>UWBM 44017</t>
  </si>
  <si>
    <t>Tyto alba</t>
  </si>
  <si>
    <t>UWBM 66222</t>
  </si>
  <si>
    <t>Tyrannus tyrannus</t>
  </si>
  <si>
    <t>UWBM 35764</t>
  </si>
  <si>
    <t>Vanellus vanellus</t>
  </si>
  <si>
    <t>UWBM 58086</t>
  </si>
  <si>
    <t xml:space="preserve">LACNHM </t>
  </si>
  <si>
    <t>Aethia pygmaea</t>
  </si>
  <si>
    <t>LACNHM 110673</t>
  </si>
  <si>
    <t>Brachyramphus hypoleucos</t>
  </si>
  <si>
    <t>LACNHM 102710</t>
  </si>
  <si>
    <t>Brachyramphus marmoratus</t>
  </si>
  <si>
    <t>LACNHM 113225</t>
  </si>
  <si>
    <t>Cepphus columba</t>
  </si>
  <si>
    <t>LACNHM 119973</t>
  </si>
  <si>
    <t>Cerorhinca monocerata</t>
  </si>
  <si>
    <t>LACNHM 106406</t>
  </si>
  <si>
    <t xml:space="preserve">Crypturellus tataupa </t>
  </si>
  <si>
    <t>LACNHM 35338</t>
  </si>
  <si>
    <t>Cyclorrhynchus psittacula</t>
  </si>
  <si>
    <t>LACNHM 90457</t>
  </si>
  <si>
    <t>Fratercula arctica</t>
  </si>
  <si>
    <t>LACNHM 112358</t>
  </si>
  <si>
    <t>Fratercula corniculata</t>
  </si>
  <si>
    <t>LACNHM 96912</t>
  </si>
  <si>
    <t>Phalacrocorax africanus</t>
  </si>
  <si>
    <t>LACNHM 90282</t>
  </si>
  <si>
    <t>Phalacrocorax auritus</t>
  </si>
  <si>
    <t>LACNHM 88847</t>
  </si>
  <si>
    <t xml:space="preserve">Phalacrocorax bouganvilli </t>
  </si>
  <si>
    <t>LACNHM 109899</t>
  </si>
  <si>
    <t>Phalacrocorax capensis</t>
  </si>
  <si>
    <t>LACNHM 90280</t>
  </si>
  <si>
    <t>Phalacrocorax melanoleucos</t>
  </si>
  <si>
    <t>LACNHM 116536</t>
  </si>
  <si>
    <t xml:space="preserve">Rhea americana </t>
  </si>
  <si>
    <t>LACNHM 93063</t>
  </si>
  <si>
    <t>Spheniscus humboldti</t>
  </si>
  <si>
    <t>LACNHM 39907</t>
  </si>
  <si>
    <t>Uria aalge</t>
  </si>
  <si>
    <t>LACNHM 100702</t>
  </si>
  <si>
    <t>Dromaius_novaehollandiae</t>
  </si>
  <si>
    <t>Allan et al. (2014)</t>
  </si>
  <si>
    <t>Grubb et al. (1983)</t>
  </si>
  <si>
    <t>Anas_superciliosa</t>
  </si>
  <si>
    <t>Eudyptula_minor</t>
  </si>
  <si>
    <t>Hinds et al. (1993)</t>
  </si>
  <si>
    <t>Pelecanus_conspicillatus</t>
  </si>
  <si>
    <t>Seymour et al. (2004)</t>
  </si>
  <si>
    <t>Phalacrocorax_varius</t>
  </si>
  <si>
    <t>Haliaeetus_leucogaster</t>
  </si>
  <si>
    <t>Bennett and Harvey (1987)</t>
  </si>
  <si>
    <t>Corvus_mellori</t>
  </si>
  <si>
    <t>Hirundo_neoxena</t>
  </si>
  <si>
    <t>Coturnix_pectoralis</t>
  </si>
  <si>
    <t>Calidris_ruficollis</t>
  </si>
  <si>
    <t>Sterna_striata</t>
  </si>
  <si>
    <t>Sturnus_vulgaris</t>
  </si>
  <si>
    <t>Larus_pacificus</t>
  </si>
  <si>
    <t>Plegadis_falcinellus</t>
  </si>
  <si>
    <t>MMR (mLO2.h-1)</t>
  </si>
  <si>
    <t>Mass (g)</t>
  </si>
  <si>
    <t>MMR (mLO2.h-1.g-1)</t>
  </si>
  <si>
    <t>Nutrient Foramen area (mm²)</t>
  </si>
  <si>
    <t>Nutrient Artery area (mm²)</t>
  </si>
  <si>
    <t>Length (mm)</t>
  </si>
  <si>
    <t xml:space="preserve">Nutrient Artery Radius (mm) </t>
  </si>
  <si>
    <t>Nutrient Artery Radius (cm)</t>
  </si>
  <si>
    <r>
      <t>Log</t>
    </r>
    <r>
      <rPr>
        <b/>
        <sz val="11"/>
        <rFont val="Times New Roman"/>
        <family val="1"/>
      </rPr>
      <t>Q̇</t>
    </r>
    <r>
      <rPr>
        <b/>
        <vertAlign val="subscript"/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= -0.20 log r</t>
    </r>
    <r>
      <rPr>
        <b/>
        <vertAlign val="subscript"/>
        <sz val="12"/>
        <rFont val="Times New Roman"/>
        <family val="1"/>
      </rPr>
      <t>i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 xml:space="preserve"> + 1.91 log r</t>
    </r>
    <r>
      <rPr>
        <b/>
        <vertAlign val="subscript"/>
        <sz val="12"/>
        <rFont val="Times New Roman"/>
        <family val="1"/>
      </rPr>
      <t xml:space="preserve">i  </t>
    </r>
    <r>
      <rPr>
        <b/>
        <sz val="12"/>
        <rFont val="Times New Roman"/>
        <family val="1"/>
      </rPr>
      <t>+ 1.82 (Seymour et al. 2019)</t>
    </r>
  </si>
  <si>
    <r>
      <t xml:space="preserve">Nutrient Foramen Area </t>
    </r>
    <r>
      <rPr>
        <b/>
        <sz val="12"/>
        <rFont val="Times New Roman"/>
        <family val="1"/>
      </rPr>
      <t>(mm²)</t>
    </r>
  </si>
  <si>
    <r>
      <t xml:space="preserve">Rezende et al. (2002) for </t>
    </r>
    <r>
      <rPr>
        <i/>
        <sz val="12"/>
        <rFont val="Times New Roman"/>
        <family val="1"/>
      </rPr>
      <t>Anas castanea</t>
    </r>
  </si>
  <si>
    <r>
      <t xml:space="preserve">Bennett and Harvey (1987) for </t>
    </r>
    <r>
      <rPr>
        <i/>
        <sz val="12"/>
        <rFont val="Times New Roman"/>
        <family val="1"/>
      </rPr>
      <t>Phalacrocorax lucidus</t>
    </r>
  </si>
  <si>
    <r>
      <t xml:space="preserve">Norberg (1990) for </t>
    </r>
    <r>
      <rPr>
        <i/>
        <sz val="12"/>
        <rFont val="Times New Roman"/>
        <family val="1"/>
      </rPr>
      <t>Corvus cryptoleucus</t>
    </r>
  </si>
  <si>
    <r>
      <t xml:space="preserve">Bennett and Harvey (1987) for </t>
    </r>
    <r>
      <rPr>
        <i/>
        <sz val="12"/>
        <rFont val="Times New Roman"/>
        <family val="1"/>
      </rPr>
      <t>Hirundo rustica</t>
    </r>
  </si>
  <si>
    <r>
      <t xml:space="preserve">Rezende et al. (2002) for </t>
    </r>
    <r>
      <rPr>
        <i/>
        <sz val="12"/>
        <rFont val="Times New Roman"/>
        <family val="1"/>
      </rPr>
      <t>Coturnix japonica</t>
    </r>
  </si>
  <si>
    <r>
      <t xml:space="preserve">Bennett and Harvey (1987) for </t>
    </r>
    <r>
      <rPr>
        <i/>
        <sz val="12"/>
        <rFont val="Times New Roman"/>
        <family val="1"/>
      </rPr>
      <t>Calidris pusilla</t>
    </r>
  </si>
  <si>
    <r>
      <t xml:space="preserve">Bennett and Harvey (1987) for </t>
    </r>
    <r>
      <rPr>
        <i/>
        <sz val="12"/>
        <rFont val="Times New Roman"/>
        <family val="1"/>
      </rPr>
      <t>Sterna fuscata</t>
    </r>
  </si>
  <si>
    <r>
      <t>Bennett and Harvey (1987) for</t>
    </r>
    <r>
      <rPr>
        <i/>
        <sz val="12"/>
        <rFont val="Times New Roman"/>
        <family val="1"/>
      </rPr>
      <t xml:space="preserve"> L. argentatus</t>
    </r>
  </si>
  <si>
    <t>Collection number</t>
  </si>
  <si>
    <r>
      <t>Log</t>
    </r>
    <r>
      <rPr>
        <b/>
        <sz val="11"/>
        <color rgb="FF000000"/>
        <rFont val="Times New Roman"/>
        <family val="1"/>
      </rPr>
      <t>Q̇</t>
    </r>
    <r>
      <rPr>
        <b/>
        <vertAlign val="subscript"/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= -0.20 log r</t>
    </r>
    <r>
      <rPr>
        <b/>
        <vertAlign val="subscript"/>
        <sz val="11"/>
        <rFont val="Times New Roman"/>
        <family val="1"/>
      </rPr>
      <t>i</t>
    </r>
    <r>
      <rPr>
        <b/>
        <vertAlign val="superscript"/>
        <sz val="11"/>
        <rFont val="Times New Roman"/>
        <family val="1"/>
      </rPr>
      <t>2</t>
    </r>
    <r>
      <rPr>
        <b/>
        <sz val="11"/>
        <rFont val="Times New Roman"/>
        <family val="1"/>
      </rPr>
      <t xml:space="preserve"> + 1.91 log r</t>
    </r>
    <r>
      <rPr>
        <b/>
        <vertAlign val="subscript"/>
        <sz val="11"/>
        <rFont val="Times New Roman"/>
        <family val="1"/>
      </rPr>
      <t xml:space="preserve">i  </t>
    </r>
    <r>
      <rPr>
        <b/>
        <sz val="11"/>
        <rFont val="Times New Roman"/>
        <family val="1"/>
      </rPr>
      <t>+ 1.82</t>
    </r>
    <r>
      <rPr>
        <b/>
        <sz val="11"/>
        <color rgb="FF000000"/>
        <rFont val="Times New Roman"/>
        <family val="1"/>
      </rPr>
      <t xml:space="preserve"> (Seymour et al. 2019)</t>
    </r>
  </si>
  <si>
    <t>Nutrient Artery area (mm²) femur</t>
  </si>
  <si>
    <t>Nutrient Foramen area (mm²) femur</t>
  </si>
  <si>
    <t>Opening foramen radius (mm) femur</t>
  </si>
  <si>
    <t>Opening foramen diameter (mm) femur</t>
  </si>
  <si>
    <t>Nutrient Artery radius (mm) femur</t>
  </si>
  <si>
    <t>Nutrient Artery radius (cm) femur</t>
  </si>
  <si>
    <t>Opening foramen radius #2 (mm) humerus</t>
  </si>
  <si>
    <t>Nutrient Foramen area #2 (mm²) humerus</t>
  </si>
  <si>
    <t>Nutrient Artery area #2 (mm²) humerus</t>
  </si>
  <si>
    <t>Nutrient Artery radius #2 (mm) humerus</t>
  </si>
  <si>
    <t>Nutrient Artery radius #2 (cm) humerus</t>
  </si>
  <si>
    <t>Opening foramen diameter #1 (mm) humerus</t>
  </si>
  <si>
    <t>Opening foramen radius #1 (mm) humerus</t>
  </si>
  <si>
    <t>Nutrient Foramen area #1 (mm²) humerus</t>
  </si>
  <si>
    <t>Nutrient Artery area #1 (mm²) humerus</t>
  </si>
  <si>
    <t>Nutrient Artery radius #1 (mm) humerus</t>
  </si>
  <si>
    <t>Nutrient Artery radius #1 (cm) humerus</t>
  </si>
  <si>
    <t xml:space="preserve">Eoalulavis hoyasi </t>
  </si>
  <si>
    <t>MCCM-LH-13500</t>
  </si>
  <si>
    <t>IVPP_V_17968</t>
  </si>
  <si>
    <t>Taxon</t>
  </si>
  <si>
    <r>
      <t>Q̇ #1 cm</t>
    </r>
    <r>
      <rPr>
        <b/>
        <vertAlign val="superscript"/>
        <sz val="11"/>
        <rFont val="Times New Roman"/>
        <family val="1"/>
      </rPr>
      <t>3</t>
    </r>
    <r>
      <rPr>
        <b/>
        <sz val="11"/>
        <rFont val="Times New Roman"/>
        <family val="1"/>
      </rPr>
      <t>.s</t>
    </r>
    <r>
      <rPr>
        <b/>
        <vertAlign val="superscript"/>
        <sz val="11"/>
        <rFont val="Times New Roman"/>
        <family val="1"/>
      </rPr>
      <t>-1</t>
    </r>
    <r>
      <rPr>
        <b/>
        <sz val="11"/>
        <rFont val="Times New Roman"/>
        <family val="1"/>
      </rPr>
      <t xml:space="preserve"> (Q̇= 10^</t>
    </r>
    <r>
      <rPr>
        <b/>
        <vertAlign val="superscript"/>
        <sz val="11"/>
        <rFont val="Times New Roman"/>
        <family val="1"/>
      </rPr>
      <t>X</t>
    </r>
    <r>
      <rPr>
        <b/>
        <sz val="11"/>
        <rFont val="Times New Roman"/>
        <family val="1"/>
      </rPr>
      <t xml:space="preserve">) humerus </t>
    </r>
  </si>
  <si>
    <r>
      <t>Q̇ cm</t>
    </r>
    <r>
      <rPr>
        <b/>
        <vertAlign val="superscript"/>
        <sz val="11"/>
        <rFont val="Times New Roman"/>
        <family val="1"/>
      </rPr>
      <t>3</t>
    </r>
    <r>
      <rPr>
        <b/>
        <sz val="11"/>
        <rFont val="Times New Roman"/>
        <family val="1"/>
      </rPr>
      <t>.s</t>
    </r>
    <r>
      <rPr>
        <b/>
        <vertAlign val="superscript"/>
        <sz val="11"/>
        <rFont val="Times New Roman"/>
        <family val="1"/>
      </rPr>
      <t>-1</t>
    </r>
    <r>
      <rPr>
        <b/>
        <sz val="11"/>
        <rFont val="Times New Roman"/>
        <family val="1"/>
      </rPr>
      <t xml:space="preserve"> (Q̇= 10^</t>
    </r>
    <r>
      <rPr>
        <b/>
        <vertAlign val="superscript"/>
        <sz val="11"/>
        <rFont val="Times New Roman"/>
        <family val="1"/>
      </rPr>
      <t>X</t>
    </r>
    <r>
      <rPr>
        <b/>
        <sz val="11"/>
        <rFont val="Times New Roman"/>
        <family val="1"/>
      </rPr>
      <t>)  femur</t>
    </r>
  </si>
  <si>
    <r>
      <t>Q̇ #2 cm</t>
    </r>
    <r>
      <rPr>
        <b/>
        <vertAlign val="superscript"/>
        <sz val="11"/>
        <rFont val="Times New Roman"/>
        <family val="1"/>
      </rPr>
      <t>3</t>
    </r>
    <r>
      <rPr>
        <b/>
        <sz val="11"/>
        <rFont val="Times New Roman"/>
        <family val="1"/>
      </rPr>
      <t>.s</t>
    </r>
    <r>
      <rPr>
        <b/>
        <vertAlign val="superscript"/>
        <sz val="11"/>
        <rFont val="Times New Roman"/>
        <family val="1"/>
      </rPr>
      <t>-1</t>
    </r>
    <r>
      <rPr>
        <b/>
        <sz val="11"/>
        <rFont val="Times New Roman"/>
        <family val="1"/>
      </rPr>
      <t xml:space="preserve"> (Q̇= 10^</t>
    </r>
    <r>
      <rPr>
        <b/>
        <vertAlign val="superscript"/>
        <sz val="11"/>
        <rFont val="Times New Roman"/>
        <family val="1"/>
      </rPr>
      <t>X</t>
    </r>
    <r>
      <rPr>
        <b/>
        <sz val="11"/>
        <rFont val="Times New Roman"/>
        <family val="1"/>
      </rPr>
      <t>) humerus</t>
    </r>
  </si>
  <si>
    <r>
      <t>Q̇ cm</t>
    </r>
    <r>
      <rPr>
        <b/>
        <vertAlign val="superscript"/>
        <sz val="11"/>
        <rFont val="Times New Roman"/>
        <family val="1"/>
      </rPr>
      <t>3</t>
    </r>
    <r>
      <rPr>
        <b/>
        <sz val="11"/>
        <rFont val="Times New Roman"/>
        <family val="1"/>
      </rPr>
      <t>.s</t>
    </r>
    <r>
      <rPr>
        <b/>
        <vertAlign val="superscript"/>
        <sz val="11"/>
        <rFont val="Times New Roman"/>
        <family val="1"/>
      </rPr>
      <t>-1</t>
    </r>
    <r>
      <rPr>
        <b/>
        <sz val="11"/>
        <rFont val="Times New Roman"/>
        <family val="1"/>
      </rPr>
      <t xml:space="preserve"> (Q̇= 10^</t>
    </r>
    <r>
      <rPr>
        <b/>
        <vertAlign val="superscript"/>
        <sz val="11"/>
        <rFont val="Times New Roman"/>
        <family val="1"/>
      </rPr>
      <t>X</t>
    </r>
    <r>
      <rPr>
        <b/>
        <sz val="11"/>
        <rFont val="Times New Roman"/>
        <family val="1"/>
      </rPr>
      <t>)  humerus total</t>
    </r>
  </si>
  <si>
    <t>External Group</t>
  </si>
  <si>
    <t>Crocodylus niloticus</t>
  </si>
  <si>
    <t>Alligator mississippiensis</t>
  </si>
  <si>
    <t>Crocodylus porosus</t>
  </si>
  <si>
    <t>MNHN 10-1886</t>
  </si>
  <si>
    <t>MNHN 1944-228</t>
  </si>
  <si>
    <t>MNHN 1964-212</t>
  </si>
  <si>
    <t>MNHN</t>
  </si>
  <si>
    <t>National Museum of Natural History of Paris, France</t>
  </si>
  <si>
    <t>Enantiornithes indet.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</si>
</sst>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0000"/>
    <numFmt numFmtId="165" formatCode="0.000000000000000000"/>
  </numFmts>
  <fonts count="2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12"/>
      <name val="Times New Roman"/>
      <family val="1"/>
      <charset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vertAlign val="subscript"/>
      <sz val="12"/>
      <name val="Times New Roman"/>
      <family val="1"/>
    </font>
    <font>
      <b/>
      <vertAlign val="superscript"/>
      <sz val="12"/>
      <name val="Times New Roman"/>
      <family val="1"/>
    </font>
    <font>
      <sz val="12"/>
      <name val="Times New Roman"/>
      <family val="1"/>
      <charset val="1"/>
    </font>
    <font>
      <i/>
      <sz val="12"/>
      <name val="Times New Roman"/>
      <family val="1"/>
      <charset val="1"/>
    </font>
    <font>
      <sz val="12"/>
      <name val="Times New Roman"/>
      <family val="1"/>
    </font>
    <font>
      <i/>
      <sz val="12"/>
      <name val="Times New Roman"/>
      <family val="1"/>
    </font>
    <font>
      <sz val="10"/>
      <color indexed="8"/>
      <name val="Arial"/>
      <charset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vertAlign val="subscript"/>
      <sz val="11"/>
      <name val="Times New Roman"/>
      <family val="1"/>
    </font>
    <font>
      <b/>
      <vertAlign val="superscript"/>
      <sz val="11"/>
      <name val="Times New Roman"/>
      <family val="1"/>
    </font>
    <font>
      <i/>
      <sz val="11"/>
      <color theme="1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2" fillId="0" borderId="0"/>
    <xf numFmtId="0" fontId="1" fillId="0" borderId="0"/>
  </cellStyleXfs>
  <cellXfs count="49">
    <xf numFmtId="0" fontId="0" fillId="0" borderId="0" xfId="0"/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64" fontId="8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left" wrapText="1"/>
    </xf>
    <xf numFmtId="0" fontId="13" fillId="0" borderId="0" xfId="0" applyFont="1" applyAlignment="1">
      <alignment horizontal="center" vertical="center"/>
    </xf>
    <xf numFmtId="165" fontId="13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5" fillId="0" borderId="0" xfId="0" applyFont="1" applyAlignment="1">
      <alignment horizontal="center" wrapText="1"/>
    </xf>
    <xf numFmtId="165" fontId="5" fillId="2" borderId="0" xfId="0" applyNumberFormat="1" applyFont="1" applyFill="1" applyAlignment="1">
      <alignment horizontal="center" wrapText="1"/>
    </xf>
    <xf numFmtId="0" fontId="13" fillId="0" borderId="1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8" fillId="0" borderId="0" xfId="0" applyFont="1"/>
    <xf numFmtId="165" fontId="14" fillId="2" borderId="0" xfId="0" applyNumberFormat="1" applyFont="1" applyFill="1" applyAlignment="1">
      <alignment horizontal="center"/>
    </xf>
    <xf numFmtId="164" fontId="14" fillId="2" borderId="0" xfId="0" applyNumberFormat="1" applyFont="1" applyFill="1" applyAlignment="1">
      <alignment horizontal="center"/>
    </xf>
    <xf numFmtId="49" fontId="14" fillId="0" borderId="0" xfId="0" applyNumberFormat="1" applyFont="1"/>
    <xf numFmtId="0" fontId="13" fillId="0" borderId="0" xfId="0" applyFont="1" applyAlignment="1">
      <alignment vertical="center"/>
    </xf>
    <xf numFmtId="49" fontId="13" fillId="0" borderId="2" xfId="0" applyNumberFormat="1" applyFont="1" applyBorder="1" applyAlignment="1">
      <alignment horizontal="center"/>
    </xf>
    <xf numFmtId="49" fontId="14" fillId="0" borderId="3" xfId="0" applyNumberFormat="1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18" fillId="0" borderId="4" xfId="0" applyFont="1" applyBorder="1"/>
    <xf numFmtId="0" fontId="14" fillId="0" borderId="3" xfId="0" applyFont="1" applyBorder="1" applyAlignment="1">
      <alignment horizontal="left" vertical="center"/>
    </xf>
    <xf numFmtId="0" fontId="19" fillId="0" borderId="4" xfId="0" applyFont="1" applyBorder="1" applyAlignment="1">
      <alignment horizontal="left"/>
    </xf>
    <xf numFmtId="0" fontId="20" fillId="0" borderId="0" xfId="0" applyFont="1" applyAlignment="1">
      <alignment horizontal="center"/>
    </xf>
    <xf numFmtId="0" fontId="14" fillId="0" borderId="2" xfId="0" applyFont="1" applyBorder="1" applyAlignment="1">
      <alignment horizontal="center"/>
    </xf>
    <xf numFmtId="0" fontId="18" fillId="0" borderId="4" xfId="0" applyFont="1" applyBorder="1" applyAlignment="1">
      <alignment horizontal="left"/>
    </xf>
    <xf numFmtId="0" fontId="19" fillId="0" borderId="4" xfId="0" applyFont="1" applyBorder="1"/>
    <xf numFmtId="49" fontId="13" fillId="0" borderId="5" xfId="0" applyNumberFormat="1" applyFont="1" applyBorder="1" applyAlignment="1">
      <alignment horizontal="center"/>
    </xf>
    <xf numFmtId="49" fontId="14" fillId="0" borderId="6" xfId="0" applyNumberFormat="1" applyFont="1" applyBorder="1" applyAlignment="1">
      <alignment horizontal="left" vertical="center"/>
    </xf>
    <xf numFmtId="49" fontId="14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165" fontId="14" fillId="0" borderId="0" xfId="0" applyNumberFormat="1" applyFont="1" applyAlignment="1">
      <alignment horizontal="center"/>
    </xf>
    <xf numFmtId="0" fontId="5" fillId="0" borderId="0" xfId="1" applyFont="1" applyAlignment="1">
      <alignment horizontal="left" wrapText="1"/>
    </xf>
    <xf numFmtId="0" fontId="20" fillId="0" borderId="0" xfId="0" applyFont="1"/>
    <xf numFmtId="0" fontId="5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4" fillId="0" borderId="0" xfId="2" applyFont="1" applyAlignment="1">
      <alignment horizontal="center"/>
    </xf>
  </cellXfs>
  <cellStyles count="3">
    <cellStyle name="Normal" xfId="0" builtinId="0"/>
    <cellStyle name="Normal 2" xfId="1" xr:uid="{3DB8B12C-6481-4817-9099-61AF21A50AB6}"/>
    <cellStyle name="Normal 3" xfId="2" xr:uid="{B93C97CC-4780-4517-86B3-9BAD693D2EF8}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topLeftCell="D1" zoomScaleNormal="100" workbookViewId="0">
      <selection activeCell="C2" sqref="C2:C15"/>
    </sheetView>
  </sheetViews>
  <sheetFormatPr defaultColWidth="10.5546875" defaultRowHeight="14.4" x14ac:dyDescent="0.3"/>
  <cols>
    <col min="1" max="1" width="41.33203125" style="8" customWidth="1"/>
    <col min="2" max="2" width="18.6640625" style="8" customWidth="1"/>
    <col min="3" max="3" width="10.5546875" style="8"/>
    <col min="4" max="4" width="22.33203125" style="8" customWidth="1"/>
    <col min="5" max="9" width="10.5546875" style="8"/>
    <col min="10" max="10" width="25.88671875" style="8" customWidth="1"/>
    <col min="11" max="11" width="22.33203125" style="8" customWidth="1"/>
    <col min="12" max="12" width="53.5546875" style="8" customWidth="1"/>
    <col min="13" max="13" width="19.88671875" style="8" customWidth="1"/>
    <col min="14" max="16384" width="10.5546875" style="8"/>
  </cols>
  <sheetData>
    <row r="1" spans="1:13" s="4" customFormat="1" ht="27.75" customHeight="1" x14ac:dyDescent="0.3">
      <c r="A1" s="1" t="s">
        <v>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2" t="s">
        <v>257</v>
      </c>
      <c r="H1" s="2" t="s">
        <v>258</v>
      </c>
      <c r="I1" s="2" t="s">
        <v>259</v>
      </c>
      <c r="J1" s="3" t="s">
        <v>1</v>
      </c>
      <c r="K1" s="1" t="s">
        <v>256</v>
      </c>
      <c r="L1" s="1" t="s">
        <v>251</v>
      </c>
      <c r="M1" s="1" t="s">
        <v>260</v>
      </c>
    </row>
    <row r="2" spans="1:13" s="4" customFormat="1" ht="16.5" customHeight="1" x14ac:dyDescent="0.3">
      <c r="A2" s="5" t="s">
        <v>232</v>
      </c>
      <c r="B2" s="4">
        <v>108.45</v>
      </c>
      <c r="C2" s="4">
        <v>37.5</v>
      </c>
      <c r="D2" s="4">
        <v>2.8919999999999999</v>
      </c>
      <c r="E2" s="4">
        <v>0.219</v>
      </c>
      <c r="F2" s="4">
        <f t="shared" ref="F2:F15" si="0">(E2)*2/10</f>
        <v>4.3799999999999999E-2</v>
      </c>
      <c r="G2" s="4">
        <f t="shared" ref="G2:G15" si="1">SQRT(F2/3.14159265359)</f>
        <v>0.11807613228273152</v>
      </c>
      <c r="H2" s="4">
        <f t="shared" ref="H2:H15" si="2">G2*0.1</f>
        <v>1.1807613228273152E-2</v>
      </c>
      <c r="I2" s="4">
        <f t="shared" ref="I2:I15" si="3">-0.2*LOG(H2)^2+1.91*LOG(H2)+1.82</f>
        <v>-2.6054821320485058</v>
      </c>
      <c r="J2" s="6">
        <f t="shared" ref="J2:J15" si="4">10^(I2)</f>
        <v>2.4803779844922392E-3</v>
      </c>
      <c r="K2" s="4" t="s">
        <v>233</v>
      </c>
      <c r="L2" s="4" t="s">
        <v>234</v>
      </c>
      <c r="M2" s="4" t="s">
        <v>233</v>
      </c>
    </row>
    <row r="3" spans="1:13" s="4" customFormat="1" ht="16.5" customHeight="1" x14ac:dyDescent="0.3">
      <c r="A3" s="5" t="s">
        <v>235</v>
      </c>
      <c r="B3" s="4">
        <v>3691.89</v>
      </c>
      <c r="C3" s="4">
        <v>969</v>
      </c>
      <c r="D3" s="4">
        <v>3.81</v>
      </c>
      <c r="E3" s="4">
        <v>5.6099999999999997E-2</v>
      </c>
      <c r="F3" s="4">
        <f t="shared" si="0"/>
        <v>1.1219999999999999E-2</v>
      </c>
      <c r="G3" s="4">
        <f t="shared" si="1"/>
        <v>5.9761500340787095E-2</v>
      </c>
      <c r="H3" s="4">
        <f t="shared" si="2"/>
        <v>5.9761500340787099E-3</v>
      </c>
      <c r="I3" s="4">
        <f t="shared" si="3"/>
        <v>-3.4158952262115934</v>
      </c>
      <c r="J3" s="6">
        <f t="shared" si="4"/>
        <v>3.8379982624853491E-4</v>
      </c>
      <c r="K3" s="4" t="s">
        <v>233</v>
      </c>
      <c r="L3" s="7" t="s">
        <v>261</v>
      </c>
      <c r="M3" s="4" t="s">
        <v>233</v>
      </c>
    </row>
    <row r="4" spans="1:13" s="4" customFormat="1" ht="16.5" customHeight="1" x14ac:dyDescent="0.3">
      <c r="A4" s="5" t="s">
        <v>236</v>
      </c>
      <c r="B4" s="4">
        <v>3445.2</v>
      </c>
      <c r="C4" s="4">
        <v>982.7</v>
      </c>
      <c r="E4" s="4">
        <v>4.0500000000000001E-2</v>
      </c>
      <c r="F4" s="4">
        <f t="shared" si="0"/>
        <v>8.0999999999999996E-3</v>
      </c>
      <c r="G4" s="4">
        <f t="shared" si="1"/>
        <v>5.0777062519296395E-2</v>
      </c>
      <c r="H4" s="4">
        <f t="shared" si="2"/>
        <v>5.0777062519296399E-3</v>
      </c>
      <c r="I4" s="4">
        <f t="shared" si="3"/>
        <v>-3.6149671924259019</v>
      </c>
      <c r="J4" s="6">
        <f t="shared" si="4"/>
        <v>2.4267934135469528E-4</v>
      </c>
      <c r="K4" s="4" t="s">
        <v>233</v>
      </c>
      <c r="L4" s="4" t="s">
        <v>237</v>
      </c>
      <c r="M4" s="4" t="s">
        <v>233</v>
      </c>
    </row>
    <row r="5" spans="1:13" s="4" customFormat="1" ht="16.5" customHeight="1" x14ac:dyDescent="0.3">
      <c r="A5" s="5" t="s">
        <v>238</v>
      </c>
      <c r="B5" s="4">
        <v>21420</v>
      </c>
      <c r="C5" s="4">
        <v>7200</v>
      </c>
      <c r="E5" s="4">
        <v>0.3629</v>
      </c>
      <c r="F5" s="4">
        <f t="shared" si="0"/>
        <v>7.2580000000000006E-2</v>
      </c>
      <c r="G5" s="4">
        <f t="shared" si="1"/>
        <v>0.15199648528573945</v>
      </c>
      <c r="H5" s="4">
        <f t="shared" si="2"/>
        <v>1.5199648528573945E-2</v>
      </c>
      <c r="I5" s="4">
        <f t="shared" si="3"/>
        <v>-2.3138437791241575</v>
      </c>
      <c r="J5" s="6">
        <f t="shared" si="4"/>
        <v>4.85463095591257E-3</v>
      </c>
      <c r="K5" s="4" t="s">
        <v>233</v>
      </c>
      <c r="L5" s="4" t="s">
        <v>239</v>
      </c>
      <c r="M5" s="4" t="s">
        <v>233</v>
      </c>
    </row>
    <row r="6" spans="1:13" s="4" customFormat="1" ht="16.5" customHeight="1" x14ac:dyDescent="0.3">
      <c r="A6" s="5" t="s">
        <v>240</v>
      </c>
      <c r="B6" s="4">
        <v>3022.5</v>
      </c>
      <c r="C6" s="4">
        <v>1933</v>
      </c>
      <c r="E6" s="4">
        <v>0.1145</v>
      </c>
      <c r="F6" s="4">
        <f t="shared" si="0"/>
        <v>2.29E-2</v>
      </c>
      <c r="G6" s="4">
        <f t="shared" si="1"/>
        <v>8.5377376357020515E-2</v>
      </c>
      <c r="H6" s="4">
        <f t="shared" si="2"/>
        <v>8.5377376357020519E-3</v>
      </c>
      <c r="I6" s="4">
        <f t="shared" si="3"/>
        <v>-2.9870037610199596</v>
      </c>
      <c r="J6" s="6">
        <f t="shared" si="4"/>
        <v>1.0303771972658758E-3</v>
      </c>
      <c r="K6" s="4" t="s">
        <v>233</v>
      </c>
      <c r="L6" s="7" t="s">
        <v>262</v>
      </c>
      <c r="M6" s="4" t="s">
        <v>233</v>
      </c>
    </row>
    <row r="7" spans="1:13" s="4" customFormat="1" ht="16.5" customHeight="1" x14ac:dyDescent="0.3">
      <c r="A7" s="5" t="s">
        <v>241</v>
      </c>
      <c r="B7" s="4">
        <v>3392</v>
      </c>
      <c r="C7" s="4">
        <v>4500</v>
      </c>
      <c r="E7" s="4">
        <v>0.20100000000000001</v>
      </c>
      <c r="F7" s="4">
        <f t="shared" si="0"/>
        <v>4.02E-2</v>
      </c>
      <c r="G7" s="4">
        <f t="shared" si="1"/>
        <v>0.11311965976163268</v>
      </c>
      <c r="H7" s="4">
        <f t="shared" si="2"/>
        <v>1.1311965976163268E-2</v>
      </c>
      <c r="I7" s="4">
        <f t="shared" si="3"/>
        <v>-2.655485040991481</v>
      </c>
      <c r="J7" s="6">
        <f t="shared" si="4"/>
        <v>2.2106243985970347E-3</v>
      </c>
      <c r="K7" s="4" t="s">
        <v>233</v>
      </c>
      <c r="L7" s="4" t="s">
        <v>242</v>
      </c>
      <c r="M7" s="4" t="s">
        <v>233</v>
      </c>
    </row>
    <row r="8" spans="1:13" s="4" customFormat="1" ht="16.5" customHeight="1" x14ac:dyDescent="0.3">
      <c r="A8" s="5" t="s">
        <v>243</v>
      </c>
      <c r="B8" s="4">
        <v>6716.42</v>
      </c>
      <c r="C8" s="4">
        <v>480</v>
      </c>
      <c r="E8" s="4">
        <v>5.2999999999999999E-2</v>
      </c>
      <c r="F8" s="4">
        <f t="shared" si="0"/>
        <v>1.06E-2</v>
      </c>
      <c r="G8" s="4">
        <f t="shared" si="1"/>
        <v>5.808687281604992E-2</v>
      </c>
      <c r="H8" s="4">
        <f t="shared" si="2"/>
        <v>5.8086872816049927E-3</v>
      </c>
      <c r="I8" s="4">
        <f t="shared" si="3"/>
        <v>-3.4504804684341774</v>
      </c>
      <c r="J8" s="6">
        <f t="shared" si="4"/>
        <v>3.5442106933404187E-4</v>
      </c>
      <c r="K8" s="4" t="s">
        <v>233</v>
      </c>
      <c r="L8" s="7" t="s">
        <v>263</v>
      </c>
      <c r="M8" s="4" t="s">
        <v>233</v>
      </c>
    </row>
    <row r="9" spans="1:13" s="4" customFormat="1" ht="16.5" customHeight="1" x14ac:dyDescent="0.3">
      <c r="A9" s="5" t="s">
        <v>244</v>
      </c>
      <c r="B9" s="4">
        <v>218.33</v>
      </c>
      <c r="C9" s="4">
        <v>19.100000000000001</v>
      </c>
      <c r="E9" s="4">
        <v>2.8E-3</v>
      </c>
      <c r="F9" s="4">
        <f t="shared" si="0"/>
        <v>5.5999999999999995E-4</v>
      </c>
      <c r="G9" s="4">
        <f t="shared" si="1"/>
        <v>1.335116235624865E-2</v>
      </c>
      <c r="H9" s="4">
        <f t="shared" si="2"/>
        <v>1.335116235624865E-3</v>
      </c>
      <c r="I9" s="4">
        <f t="shared" si="3"/>
        <v>-5.3227866777908002</v>
      </c>
      <c r="J9" s="6">
        <f t="shared" si="4"/>
        <v>4.7556876441074899E-6</v>
      </c>
      <c r="K9" s="4" t="s">
        <v>233</v>
      </c>
      <c r="L9" s="7" t="s">
        <v>264</v>
      </c>
      <c r="M9" s="4" t="s">
        <v>233</v>
      </c>
    </row>
    <row r="10" spans="1:13" s="4" customFormat="1" ht="16.5" customHeight="1" x14ac:dyDescent="0.3">
      <c r="A10" s="5" t="s">
        <v>245</v>
      </c>
      <c r="B10" s="4">
        <v>1094.46</v>
      </c>
      <c r="C10" s="4">
        <v>102</v>
      </c>
      <c r="D10" s="4">
        <v>10.73</v>
      </c>
      <c r="E10" s="4">
        <v>2.5999999999999999E-2</v>
      </c>
      <c r="F10" s="4">
        <f t="shared" si="0"/>
        <v>5.1999999999999998E-3</v>
      </c>
      <c r="G10" s="4">
        <f t="shared" si="1"/>
        <v>4.0684289451280851E-2</v>
      </c>
      <c r="H10" s="4">
        <f t="shared" si="2"/>
        <v>4.068428945128085E-3</v>
      </c>
      <c r="I10" s="4">
        <f t="shared" si="3"/>
        <v>-3.8889630418685117</v>
      </c>
      <c r="J10" s="6">
        <f t="shared" si="4"/>
        <v>1.2913291600713479E-4</v>
      </c>
      <c r="K10" s="4" t="s">
        <v>233</v>
      </c>
      <c r="L10" s="7" t="s">
        <v>265</v>
      </c>
      <c r="M10" s="4" t="s">
        <v>233</v>
      </c>
    </row>
    <row r="11" spans="1:13" s="4" customFormat="1" ht="16.5" customHeight="1" x14ac:dyDescent="0.3">
      <c r="A11" s="5" t="s">
        <v>246</v>
      </c>
      <c r="B11" s="4">
        <v>330</v>
      </c>
      <c r="C11" s="4">
        <v>27.1</v>
      </c>
      <c r="E11" s="4">
        <v>5.7000000000000002E-3</v>
      </c>
      <c r="F11" s="4">
        <f t="shared" si="0"/>
        <v>1.14E-3</v>
      </c>
      <c r="G11" s="4">
        <f t="shared" si="1"/>
        <v>1.904923279949871E-2</v>
      </c>
      <c r="H11" s="4">
        <f t="shared" si="2"/>
        <v>1.904923279949871E-3</v>
      </c>
      <c r="I11" s="4">
        <f t="shared" si="3"/>
        <v>-4.8552472900169503</v>
      </c>
      <c r="J11" s="6">
        <f t="shared" si="4"/>
        <v>1.3955734864294964E-5</v>
      </c>
      <c r="K11" s="4" t="s">
        <v>233</v>
      </c>
      <c r="L11" s="7" t="s">
        <v>266</v>
      </c>
      <c r="M11" s="4" t="s">
        <v>233</v>
      </c>
    </row>
    <row r="12" spans="1:13" s="4" customFormat="1" ht="16.5" customHeight="1" x14ac:dyDescent="0.3">
      <c r="A12" s="5" t="s">
        <v>247</v>
      </c>
      <c r="B12" s="4">
        <v>678.33</v>
      </c>
      <c r="C12" s="4">
        <v>184</v>
      </c>
      <c r="E12" s="4">
        <v>8.8000000000000005E-3</v>
      </c>
      <c r="F12" s="4">
        <f t="shared" si="0"/>
        <v>1.7600000000000001E-3</v>
      </c>
      <c r="G12" s="4">
        <f t="shared" si="1"/>
        <v>2.3669081090812012E-2</v>
      </c>
      <c r="H12" s="4">
        <f t="shared" si="2"/>
        <v>2.3669081090812016E-3</v>
      </c>
      <c r="I12" s="4">
        <f t="shared" si="3"/>
        <v>-4.574298197244409</v>
      </c>
      <c r="J12" s="6">
        <f t="shared" si="4"/>
        <v>2.6650281624507745E-5</v>
      </c>
      <c r="K12" s="4" t="s">
        <v>233</v>
      </c>
      <c r="L12" s="7" t="s">
        <v>267</v>
      </c>
      <c r="M12" s="4" t="s">
        <v>233</v>
      </c>
    </row>
    <row r="13" spans="1:13" s="4" customFormat="1" ht="16.5" customHeight="1" x14ac:dyDescent="0.3">
      <c r="A13" s="5" t="s">
        <v>248</v>
      </c>
      <c r="B13" s="4">
        <v>450</v>
      </c>
      <c r="C13" s="4">
        <v>76</v>
      </c>
      <c r="E13" s="4">
        <v>1.4999999999999999E-2</v>
      </c>
      <c r="F13" s="4">
        <f t="shared" si="0"/>
        <v>3.0000000000000001E-3</v>
      </c>
      <c r="G13" s="4">
        <f t="shared" si="1"/>
        <v>3.090193616185415E-2</v>
      </c>
      <c r="H13" s="4">
        <f t="shared" si="2"/>
        <v>3.090193616185415E-3</v>
      </c>
      <c r="I13" s="4">
        <f t="shared" si="3"/>
        <v>-4.2341616964297959</v>
      </c>
      <c r="J13" s="6">
        <f t="shared" si="4"/>
        <v>5.8322791654987497E-5</v>
      </c>
      <c r="K13" s="4" t="s">
        <v>233</v>
      </c>
      <c r="L13" s="4" t="s">
        <v>242</v>
      </c>
      <c r="M13" s="4" t="s">
        <v>233</v>
      </c>
    </row>
    <row r="14" spans="1:13" s="4" customFormat="1" ht="16.5" customHeight="1" x14ac:dyDescent="0.3">
      <c r="A14" s="5" t="s">
        <v>249</v>
      </c>
      <c r="B14" s="4">
        <v>2377</v>
      </c>
      <c r="C14" s="4">
        <v>1200</v>
      </c>
      <c r="E14" s="4">
        <v>3.0700000000000002E-2</v>
      </c>
      <c r="F14" s="4">
        <f t="shared" si="0"/>
        <v>6.1400000000000005E-3</v>
      </c>
      <c r="G14" s="4">
        <f t="shared" si="1"/>
        <v>4.4208853198973011E-2</v>
      </c>
      <c r="H14" s="4">
        <f t="shared" si="2"/>
        <v>4.4208853198973016E-3</v>
      </c>
      <c r="I14" s="4">
        <f t="shared" si="3"/>
        <v>-3.7858026730815242</v>
      </c>
      <c r="J14" s="6">
        <f t="shared" si="4"/>
        <v>1.6375603976721327E-4</v>
      </c>
      <c r="K14" s="4" t="s">
        <v>233</v>
      </c>
      <c r="L14" s="7" t="s">
        <v>268</v>
      </c>
      <c r="M14" s="4" t="s">
        <v>233</v>
      </c>
    </row>
    <row r="15" spans="1:13" s="4" customFormat="1" ht="16.5" customHeight="1" x14ac:dyDescent="0.3">
      <c r="A15" s="5" t="s">
        <v>250</v>
      </c>
      <c r="B15" s="4">
        <v>1079.2</v>
      </c>
      <c r="C15" s="4">
        <v>650</v>
      </c>
      <c r="E15" s="4">
        <v>7.2800000000000004E-2</v>
      </c>
      <c r="F15" s="4">
        <f t="shared" si="0"/>
        <v>1.456E-2</v>
      </c>
      <c r="G15" s="4">
        <f t="shared" si="1"/>
        <v>6.8077837383657289E-2</v>
      </c>
      <c r="H15" s="4">
        <f t="shared" si="2"/>
        <v>6.8077837383657292E-3</v>
      </c>
      <c r="I15" s="4">
        <f t="shared" si="3"/>
        <v>-3.2581318302370983</v>
      </c>
      <c r="J15" s="6">
        <f t="shared" si="4"/>
        <v>5.5190988141945745E-4</v>
      </c>
      <c r="K15" s="4" t="s">
        <v>233</v>
      </c>
      <c r="L15" s="4" t="s">
        <v>242</v>
      </c>
      <c r="M15" s="4" t="s">
        <v>233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1"/>
  <sheetViews>
    <sheetView tabSelected="1" zoomScaleNormal="100" workbookViewId="0">
      <pane xSplit="1" ySplit="1" topLeftCell="B99" activePane="bottomRight" state="frozen"/>
      <selection pane="topRight" activeCell="B1" sqref="B1"/>
      <selection pane="bottomLeft" activeCell="A2" sqref="A2"/>
      <selection pane="bottomRight" activeCell="A112" sqref="A112"/>
    </sheetView>
  </sheetViews>
  <sheetFormatPr defaultColWidth="10.5546875" defaultRowHeight="13.8" x14ac:dyDescent="0.25"/>
  <cols>
    <col min="1" max="1" width="35.5546875" style="22" customWidth="1"/>
    <col min="2" max="2" width="16.88671875" style="13" customWidth="1"/>
    <col min="3" max="3" width="8.109375" style="13" customWidth="1"/>
    <col min="4" max="4" width="16.77734375" style="13" customWidth="1"/>
    <col min="5" max="5" width="17.33203125" style="13" customWidth="1"/>
    <col min="6" max="6" width="17.5546875" style="13" customWidth="1"/>
    <col min="7" max="8" width="15" style="13" customWidth="1"/>
    <col min="9" max="9" width="16.33203125" style="13" customWidth="1"/>
    <col min="10" max="10" width="22.33203125" style="13" customWidth="1"/>
    <col min="11" max="11" width="21.21875" style="13" customWidth="1"/>
    <col min="12" max="15" width="13.6640625" style="13" customWidth="1"/>
    <col min="16" max="16" width="14.33203125" style="13" customWidth="1"/>
    <col min="17" max="17" width="24" style="13" customWidth="1"/>
    <col min="18" max="18" width="22.33203125" style="13" customWidth="1"/>
    <col min="19" max="19" width="21.77734375" style="23" customWidth="1"/>
    <col min="20" max="20" width="20.88671875" style="13" customWidth="1"/>
    <col min="21" max="21" width="20.33203125" style="13" customWidth="1"/>
    <col min="22" max="24" width="12.6640625" style="13" customWidth="1"/>
    <col min="25" max="25" width="14.109375" style="13" customWidth="1"/>
    <col min="26" max="26" width="32.44140625" style="13" customWidth="1"/>
    <col min="27" max="27" width="24" style="12" customWidth="1"/>
    <col min="28" max="28" width="10.88671875" style="13" customWidth="1"/>
    <col min="29" max="29" width="50.109375" style="13" customWidth="1"/>
    <col min="30" max="16384" width="10.5546875" style="14"/>
  </cols>
  <sheetData>
    <row r="1" spans="1:32" s="19" customFormat="1" ht="57" customHeight="1" x14ac:dyDescent="0.25">
      <c r="A1" s="17" t="s">
        <v>291</v>
      </c>
      <c r="B1" s="17" t="s">
        <v>269</v>
      </c>
      <c r="C1" s="17" t="s">
        <v>252</v>
      </c>
      <c r="D1" s="9" t="s">
        <v>282</v>
      </c>
      <c r="E1" s="9" t="s">
        <v>283</v>
      </c>
      <c r="F1" s="9" t="s">
        <v>284</v>
      </c>
      <c r="G1" s="9" t="s">
        <v>285</v>
      </c>
      <c r="H1" s="9" t="s">
        <v>286</v>
      </c>
      <c r="I1" s="9" t="s">
        <v>287</v>
      </c>
      <c r="J1" s="15" t="s">
        <v>270</v>
      </c>
      <c r="K1" s="15" t="s">
        <v>292</v>
      </c>
      <c r="L1" s="9" t="s">
        <v>277</v>
      </c>
      <c r="M1" s="9" t="s">
        <v>278</v>
      </c>
      <c r="N1" s="9" t="s">
        <v>279</v>
      </c>
      <c r="O1" s="9" t="s">
        <v>280</v>
      </c>
      <c r="P1" s="9" t="s">
        <v>281</v>
      </c>
      <c r="Q1" s="15" t="s">
        <v>270</v>
      </c>
      <c r="R1" s="15" t="s">
        <v>294</v>
      </c>
      <c r="S1" s="16" t="s">
        <v>295</v>
      </c>
      <c r="T1" s="44" t="s">
        <v>274</v>
      </c>
      <c r="U1" s="44" t="s">
        <v>273</v>
      </c>
      <c r="V1" s="44" t="s">
        <v>272</v>
      </c>
      <c r="W1" s="9" t="s">
        <v>271</v>
      </c>
      <c r="X1" s="9" t="s">
        <v>275</v>
      </c>
      <c r="Y1" s="9" t="s">
        <v>276</v>
      </c>
      <c r="Z1" s="15" t="s">
        <v>270</v>
      </c>
      <c r="AA1" s="18" t="s">
        <v>293</v>
      </c>
    </row>
    <row r="2" spans="1:32" s="19" customFormat="1" ht="15" customHeight="1" x14ac:dyDescent="0.25">
      <c r="A2" s="10"/>
      <c r="B2" s="20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10"/>
      <c r="U2" s="10"/>
      <c r="V2" s="10"/>
      <c r="W2" s="10"/>
      <c r="X2" s="10"/>
      <c r="Y2" s="10"/>
      <c r="Z2" s="10"/>
      <c r="AA2" s="21"/>
      <c r="AB2" s="27" t="s">
        <v>21</v>
      </c>
      <c r="AC2" s="28" t="s">
        <v>22</v>
      </c>
    </row>
    <row r="3" spans="1:32" x14ac:dyDescent="0.25">
      <c r="A3" s="22" t="s">
        <v>3</v>
      </c>
      <c r="B3" s="13" t="s">
        <v>4</v>
      </c>
      <c r="D3" s="13">
        <v>0.3</v>
      </c>
      <c r="E3" s="13">
        <f>D3/2</f>
        <v>0.15</v>
      </c>
      <c r="F3" s="13">
        <f>3.14159265359*(E3)^2</f>
        <v>7.0685834705774997E-2</v>
      </c>
      <c r="G3" s="13">
        <f>(F3)*2/10</f>
        <v>1.4137166941154999E-2</v>
      </c>
      <c r="H3" s="13">
        <f>SQRT(G3/3.14159265359)</f>
        <v>6.7082039324993695E-2</v>
      </c>
      <c r="I3" s="13">
        <f>(H3*0.1)</f>
        <v>6.7082039324993696E-3</v>
      </c>
      <c r="J3" s="13">
        <f>-0.2*LOG(I3)^2+1.91*LOG(I3)+1.82</f>
        <v>-3.2759101218645093</v>
      </c>
      <c r="K3" s="13">
        <f>10^(J3)</f>
        <v>5.2977307017311253E-4</v>
      </c>
      <c r="S3" s="23">
        <f>K3+R3</f>
        <v>5.2977307017311253E-4</v>
      </c>
      <c r="T3" s="13">
        <v>0.32</v>
      </c>
      <c r="U3" s="13">
        <f>T3/2</f>
        <v>0.16</v>
      </c>
      <c r="V3" s="13">
        <f>3.14159265359*(U3)^2</f>
        <v>8.0424771931904004E-2</v>
      </c>
      <c r="W3" s="13">
        <f>(V3)*2/10</f>
        <v>1.6084954386380801E-2</v>
      </c>
      <c r="X3" s="13">
        <f>SQRT(W3/3.14159265359)</f>
        <v>7.1554175279993276E-2</v>
      </c>
      <c r="Y3" s="13">
        <f>(X3*0.1)</f>
        <v>7.1554175279993281E-3</v>
      </c>
      <c r="Z3" s="13">
        <f>-0.2*LOG(Y3)^2+1.91*LOG(Y3)+1.82</f>
        <v>-3.1981654006572988</v>
      </c>
      <c r="AA3" s="24">
        <f>10^(Z3)</f>
        <v>6.3362834851987389E-4</v>
      </c>
      <c r="AB3" s="34"/>
      <c r="AC3" s="31"/>
      <c r="AD3" s="25"/>
      <c r="AE3" s="25"/>
      <c r="AF3" s="26"/>
    </row>
    <row r="4" spans="1:32" x14ac:dyDescent="0.25">
      <c r="A4" s="22" t="s">
        <v>5</v>
      </c>
      <c r="B4" s="13" t="s">
        <v>6</v>
      </c>
      <c r="D4" s="13">
        <v>0.2</v>
      </c>
      <c r="E4" s="13">
        <f>D4/2</f>
        <v>0.1</v>
      </c>
      <c r="F4" s="13">
        <f t="shared" ref="F4:F67" si="0">3.14159265359*(E4)^2</f>
        <v>3.1415926535900009E-2</v>
      </c>
      <c r="G4" s="13">
        <f t="shared" ref="G4:G67" si="1">(F4)*2/10</f>
        <v>6.2831853071800021E-3</v>
      </c>
      <c r="H4" s="13">
        <f t="shared" ref="H4:H67" si="2">SQRT(G4/3.14159265359)</f>
        <v>4.4721359549995801E-2</v>
      </c>
      <c r="I4" s="13">
        <f t="shared" ref="I4:I67" si="3">(H4*0.1)</f>
        <v>4.4721359549995806E-3</v>
      </c>
      <c r="J4" s="13">
        <f>-0.2*LOG(I4)^2+1.91*LOG(I4)+1.82</f>
        <v>-3.771532309223379</v>
      </c>
      <c r="K4" s="13">
        <f>10^(J4)</f>
        <v>1.6922623443427714E-4</v>
      </c>
      <c r="S4" s="23">
        <f>K4+R4</f>
        <v>1.6922623443427714E-4</v>
      </c>
      <c r="T4" s="13">
        <v>0.39</v>
      </c>
      <c r="U4" s="13">
        <f>T4/2</f>
        <v>0.19500000000000001</v>
      </c>
      <c r="V4" s="13">
        <f t="shared" ref="V4:V14" si="4">3.14159265359*(U4)^2</f>
        <v>0.11945906065275977</v>
      </c>
      <c r="W4" s="13">
        <f t="shared" ref="W4:W14" si="5">(V4)*2/10</f>
        <v>2.3891812130551953E-2</v>
      </c>
      <c r="X4" s="13">
        <f t="shared" ref="X4:X14" si="6">SQRT(W4/3.14159265359)</f>
        <v>8.7206651122491805E-2</v>
      </c>
      <c r="Y4" s="13">
        <f t="shared" ref="Y4:Y14" si="7">(X4*0.1)</f>
        <v>8.7206651122491811E-3</v>
      </c>
      <c r="Z4" s="13">
        <f>-0.2*LOG(Y4)^2+1.91*LOG(Y4)+1.82</f>
        <v>-2.9618174288762669</v>
      </c>
      <c r="AA4" s="24">
        <f>10^(Z4)</f>
        <v>1.0918992586479862E-3</v>
      </c>
      <c r="AB4" s="27" t="s">
        <v>2</v>
      </c>
      <c r="AC4" s="28" t="s">
        <v>27</v>
      </c>
      <c r="AD4" s="25"/>
      <c r="AE4" s="25"/>
      <c r="AF4" s="26"/>
    </row>
    <row r="5" spans="1:32" x14ac:dyDescent="0.25">
      <c r="A5" s="22" t="s">
        <v>7</v>
      </c>
      <c r="B5" s="13" t="s">
        <v>8</v>
      </c>
      <c r="D5" s="13">
        <v>0.5</v>
      </c>
      <c r="E5" s="13">
        <f>D5/2</f>
        <v>0.25</v>
      </c>
      <c r="F5" s="13">
        <f t="shared" si="0"/>
        <v>0.196349540849375</v>
      </c>
      <c r="G5" s="13">
        <f t="shared" si="1"/>
        <v>3.9269908169875002E-2</v>
      </c>
      <c r="H5" s="13">
        <f t="shared" si="2"/>
        <v>0.11180339887498948</v>
      </c>
      <c r="I5" s="13">
        <f t="shared" si="3"/>
        <v>1.1180339887498949E-2</v>
      </c>
      <c r="J5" s="13">
        <f>-0.2*LOG(I5)^2+1.91*LOG(I5)+1.82</f>
        <v>-2.6691565099051449</v>
      </c>
      <c r="K5" s="13">
        <f>10^(J5)</f>
        <v>2.1421184909652734E-3</v>
      </c>
      <c r="S5" s="23">
        <f>K5+R5</f>
        <v>2.1421184909652734E-3</v>
      </c>
      <c r="T5" s="13" t="s">
        <v>9</v>
      </c>
      <c r="AA5" s="24"/>
      <c r="AB5" s="27" t="s">
        <v>12</v>
      </c>
      <c r="AC5" s="28" t="s">
        <v>30</v>
      </c>
      <c r="AD5" s="25"/>
      <c r="AE5" s="25"/>
      <c r="AF5" s="26"/>
    </row>
    <row r="6" spans="1:32" x14ac:dyDescent="0.25">
      <c r="A6" s="22" t="s">
        <v>10</v>
      </c>
      <c r="B6" s="13" t="s">
        <v>11</v>
      </c>
      <c r="D6" s="13">
        <v>0.45</v>
      </c>
      <c r="E6" s="13">
        <f>D6/2</f>
        <v>0.22500000000000001</v>
      </c>
      <c r="F6" s="13">
        <f t="shared" si="0"/>
        <v>0.15904312808799376</v>
      </c>
      <c r="G6" s="13">
        <f t="shared" si="1"/>
        <v>3.180862561759875E-2</v>
      </c>
      <c r="H6" s="13">
        <f t="shared" si="2"/>
        <v>0.10062305898749054</v>
      </c>
      <c r="I6" s="13">
        <f t="shared" si="3"/>
        <v>1.0062305898749055E-2</v>
      </c>
      <c r="J6" s="13">
        <f>-0.2*LOG(I6)^2+1.91*LOG(I6)+1.82</f>
        <v>-2.7926911871119655</v>
      </c>
      <c r="K6" s="13">
        <f>10^(J6)</f>
        <v>1.6117913209542447E-3</v>
      </c>
      <c r="S6" s="23">
        <f>K6+R6</f>
        <v>1.6117913209542447E-3</v>
      </c>
      <c r="T6" s="13" t="s">
        <v>9</v>
      </c>
      <c r="AA6" s="24"/>
      <c r="AB6" s="27" t="s">
        <v>32</v>
      </c>
      <c r="AC6" s="28" t="s">
        <v>33</v>
      </c>
      <c r="AD6" s="25"/>
      <c r="AE6" s="25"/>
      <c r="AF6" s="29"/>
    </row>
    <row r="7" spans="1:32" ht="14.4" thickBot="1" x14ac:dyDescent="0.3">
      <c r="B7" s="20" t="s">
        <v>12</v>
      </c>
      <c r="AA7" s="24"/>
      <c r="AB7" s="37" t="s">
        <v>35</v>
      </c>
      <c r="AC7" s="38" t="s">
        <v>36</v>
      </c>
      <c r="AD7" s="25"/>
      <c r="AE7" s="25"/>
      <c r="AF7" s="29"/>
    </row>
    <row r="8" spans="1:32" x14ac:dyDescent="0.25">
      <c r="A8" s="30" t="s">
        <v>13</v>
      </c>
      <c r="B8" s="13" t="s">
        <v>14</v>
      </c>
      <c r="C8" s="13">
        <v>370</v>
      </c>
      <c r="D8" s="13">
        <v>0.33</v>
      </c>
      <c r="E8" s="13">
        <f t="shared" ref="E8:E13" si="8">D8/2</f>
        <v>0.16500000000000001</v>
      </c>
      <c r="F8" s="13">
        <f t="shared" si="0"/>
        <v>8.5529859993987767E-2</v>
      </c>
      <c r="G8" s="13">
        <f t="shared" si="1"/>
        <v>1.7105971998797553E-2</v>
      </c>
      <c r="H8" s="13">
        <f t="shared" si="2"/>
        <v>7.3790243257493074E-2</v>
      </c>
      <c r="I8" s="13">
        <f t="shared" si="3"/>
        <v>7.3790243257493074E-3</v>
      </c>
      <c r="J8" s="13">
        <f t="shared" ref="J8:J13" si="9">-0.2*LOG(I8)^2+1.91*LOG(I8)+1.82</f>
        <v>-3.1612077229158198</v>
      </c>
      <c r="K8" s="13">
        <f t="shared" ref="K8:K13" si="10">10^(J8)</f>
        <v>6.8990974129712411E-4</v>
      </c>
      <c r="S8" s="23">
        <f t="shared" ref="S8:S13" si="11">K8+R8</f>
        <v>6.8990974129712411E-4</v>
      </c>
      <c r="T8" s="13">
        <v>0.24</v>
      </c>
      <c r="U8" s="13">
        <f t="shared" ref="U8:U14" si="12">T8/2</f>
        <v>0.12</v>
      </c>
      <c r="V8" s="13">
        <f t="shared" si="4"/>
        <v>4.5238934211696002E-2</v>
      </c>
      <c r="W8" s="13">
        <f t="shared" si="5"/>
        <v>9.0477868423392005E-3</v>
      </c>
      <c r="X8" s="13">
        <f t="shared" si="6"/>
        <v>5.3665631459994957E-2</v>
      </c>
      <c r="Y8" s="13">
        <f t="shared" si="7"/>
        <v>5.3665631459994959E-3</v>
      </c>
      <c r="Z8" s="13">
        <f t="shared" ref="Z8:Z14" si="13">-0.2*LOG(Y8)^2+1.91*LOG(Y8)+1.82</f>
        <v>-3.5471360032007997</v>
      </c>
      <c r="AA8" s="24">
        <f t="shared" ref="AA8:AA14" si="14">10^(Z8)</f>
        <v>2.8370304478597078E-4</v>
      </c>
      <c r="AB8" s="27" t="s">
        <v>303</v>
      </c>
      <c r="AC8" s="31" t="s">
        <v>304</v>
      </c>
      <c r="AD8" s="25"/>
      <c r="AE8" s="25"/>
      <c r="AF8" s="29"/>
    </row>
    <row r="9" spans="1:32" x14ac:dyDescent="0.25">
      <c r="A9" s="22" t="s">
        <v>15</v>
      </c>
      <c r="B9" s="13" t="s">
        <v>16</v>
      </c>
      <c r="D9" s="13">
        <v>0.12</v>
      </c>
      <c r="E9" s="13">
        <f t="shared" si="8"/>
        <v>0.06</v>
      </c>
      <c r="F9" s="13">
        <f t="shared" si="0"/>
        <v>1.1309733552924001E-2</v>
      </c>
      <c r="G9" s="13">
        <f t="shared" si="1"/>
        <v>2.2619467105848001E-3</v>
      </c>
      <c r="H9" s="13">
        <f t="shared" si="2"/>
        <v>2.6832815729997479E-2</v>
      </c>
      <c r="I9" s="13">
        <f t="shared" si="3"/>
        <v>2.6832815729997479E-3</v>
      </c>
      <c r="J9" s="13">
        <f t="shared" si="9"/>
        <v>-4.4135989185212301</v>
      </c>
      <c r="K9" s="13">
        <f t="shared" si="10"/>
        <v>3.8583452070808013E-5</v>
      </c>
      <c r="S9" s="23">
        <f t="shared" si="11"/>
        <v>3.8583452070808013E-5</v>
      </c>
      <c r="T9" s="13">
        <v>0.08</v>
      </c>
      <c r="U9" s="13">
        <f t="shared" si="12"/>
        <v>0.04</v>
      </c>
      <c r="V9" s="13">
        <f t="shared" si="4"/>
        <v>5.0265482457440003E-3</v>
      </c>
      <c r="W9" s="13">
        <f t="shared" si="5"/>
        <v>1.0053096491488001E-3</v>
      </c>
      <c r="X9" s="13">
        <f t="shared" si="6"/>
        <v>1.7888543819998319E-2</v>
      </c>
      <c r="Y9" s="13">
        <f t="shared" si="7"/>
        <v>1.788854381999832E-3</v>
      </c>
      <c r="Z9" s="13">
        <f t="shared" si="13"/>
        <v>-4.9372506087423753</v>
      </c>
      <c r="AA9" s="24">
        <f t="shared" si="14"/>
        <v>1.1554453024343404E-5</v>
      </c>
      <c r="AB9" s="27"/>
      <c r="AC9" s="31"/>
      <c r="AD9" s="25"/>
      <c r="AE9" s="25"/>
      <c r="AF9" s="29"/>
    </row>
    <row r="10" spans="1:32" x14ac:dyDescent="0.25">
      <c r="A10" s="22" t="s">
        <v>17</v>
      </c>
      <c r="B10" s="13" t="s">
        <v>18</v>
      </c>
      <c r="D10" s="13">
        <v>0.57999999999999996</v>
      </c>
      <c r="E10" s="13">
        <f t="shared" si="8"/>
        <v>0.28999999999999998</v>
      </c>
      <c r="F10" s="13">
        <f t="shared" si="0"/>
        <v>0.26420794216691901</v>
      </c>
      <c r="G10" s="13">
        <f t="shared" si="1"/>
        <v>5.2841588433383803E-2</v>
      </c>
      <c r="H10" s="13">
        <f t="shared" si="2"/>
        <v>0.12969194269498782</v>
      </c>
      <c r="I10" s="13">
        <f t="shared" si="3"/>
        <v>1.2969194269498783E-2</v>
      </c>
      <c r="J10" s="13">
        <f t="shared" si="9"/>
        <v>-2.4965556504901212</v>
      </c>
      <c r="K10" s="13">
        <f t="shared" si="10"/>
        <v>3.1874571088072201E-3</v>
      </c>
      <c r="S10" s="23">
        <f t="shared" si="11"/>
        <v>3.1874571088072201E-3</v>
      </c>
      <c r="T10" s="13">
        <v>0.54</v>
      </c>
      <c r="U10" s="13">
        <f t="shared" si="12"/>
        <v>0.27</v>
      </c>
      <c r="V10" s="13">
        <f t="shared" si="4"/>
        <v>0.22902210444671103</v>
      </c>
      <c r="W10" s="13">
        <f t="shared" si="5"/>
        <v>4.5804420889342209E-2</v>
      </c>
      <c r="X10" s="13">
        <f t="shared" si="6"/>
        <v>0.12074767078498866</v>
      </c>
      <c r="Y10" s="13">
        <f t="shared" si="7"/>
        <v>1.2074767078498867E-2</v>
      </c>
      <c r="Z10" s="13">
        <f t="shared" si="13"/>
        <v>-2.5794493813374846</v>
      </c>
      <c r="AA10" s="24">
        <f t="shared" si="14"/>
        <v>2.6336048823858375E-3</v>
      </c>
      <c r="AB10" s="27"/>
      <c r="AC10" s="31"/>
      <c r="AD10" s="25"/>
      <c r="AE10" s="25"/>
      <c r="AF10" s="29"/>
    </row>
    <row r="11" spans="1:32" x14ac:dyDescent="0.25">
      <c r="A11" s="22" t="s">
        <v>19</v>
      </c>
      <c r="B11" s="13" t="s">
        <v>20</v>
      </c>
      <c r="D11" s="13">
        <v>0.09</v>
      </c>
      <c r="E11" s="13">
        <f t="shared" si="8"/>
        <v>4.4999999999999998E-2</v>
      </c>
      <c r="F11" s="13">
        <f t="shared" si="0"/>
        <v>6.3617251235197495E-3</v>
      </c>
      <c r="G11" s="13">
        <f t="shared" si="1"/>
        <v>1.2723450247039499E-3</v>
      </c>
      <c r="H11" s="13">
        <f t="shared" si="2"/>
        <v>2.0124611797498106E-2</v>
      </c>
      <c r="I11" s="13">
        <f t="shared" si="3"/>
        <v>2.0124611797498106E-3</v>
      </c>
      <c r="J11" s="13">
        <f t="shared" si="9"/>
        <v>-4.7838575191626269</v>
      </c>
      <c r="K11" s="13">
        <f t="shared" si="10"/>
        <v>1.6449112877420936E-5</v>
      </c>
      <c r="S11" s="23">
        <f t="shared" si="11"/>
        <v>1.6449112877420936E-5</v>
      </c>
      <c r="T11" s="13">
        <v>0.08</v>
      </c>
      <c r="U11" s="13">
        <f t="shared" si="12"/>
        <v>0.04</v>
      </c>
      <c r="V11" s="13">
        <f t="shared" si="4"/>
        <v>5.0265482457440003E-3</v>
      </c>
      <c r="W11" s="13">
        <f t="shared" si="5"/>
        <v>1.0053096491488001E-3</v>
      </c>
      <c r="X11" s="13">
        <f t="shared" si="6"/>
        <v>1.7888543819998319E-2</v>
      </c>
      <c r="Y11" s="13">
        <f t="shared" si="7"/>
        <v>1.788854381999832E-3</v>
      </c>
      <c r="Z11" s="13">
        <f t="shared" si="13"/>
        <v>-4.9372506087423753</v>
      </c>
      <c r="AA11" s="24">
        <f t="shared" si="14"/>
        <v>1.1554453024343404E-5</v>
      </c>
      <c r="AD11" s="25"/>
      <c r="AE11" s="25"/>
      <c r="AF11" s="29"/>
    </row>
    <row r="12" spans="1:32" x14ac:dyDescent="0.25">
      <c r="A12" s="32" t="s">
        <v>23</v>
      </c>
      <c r="B12" s="33" t="s">
        <v>24</v>
      </c>
      <c r="D12" s="13">
        <v>0.25</v>
      </c>
      <c r="E12" s="13">
        <f t="shared" si="8"/>
        <v>0.125</v>
      </c>
      <c r="F12" s="13">
        <f t="shared" si="0"/>
        <v>4.9087385212343751E-2</v>
      </c>
      <c r="G12" s="13">
        <f t="shared" si="1"/>
        <v>9.8174770424687505E-3</v>
      </c>
      <c r="H12" s="13">
        <f t="shared" si="2"/>
        <v>5.5901699437494741E-2</v>
      </c>
      <c r="I12" s="13">
        <f t="shared" si="3"/>
        <v>5.5901699437494743E-3</v>
      </c>
      <c r="J12" s="13">
        <f t="shared" si="9"/>
        <v>-3.4972370456533026</v>
      </c>
      <c r="K12" s="13">
        <f t="shared" si="10"/>
        <v>3.1824600043064521E-4</v>
      </c>
      <c r="S12" s="23">
        <f t="shared" si="11"/>
        <v>3.1824600043064521E-4</v>
      </c>
      <c r="T12" s="13">
        <v>0.16</v>
      </c>
      <c r="U12" s="13">
        <f t="shared" si="12"/>
        <v>0.08</v>
      </c>
      <c r="V12" s="13">
        <f t="shared" si="4"/>
        <v>2.0106192982976001E-2</v>
      </c>
      <c r="W12" s="13">
        <f t="shared" si="5"/>
        <v>4.0212385965952002E-3</v>
      </c>
      <c r="X12" s="13">
        <f t="shared" si="6"/>
        <v>3.5777087639996638E-2</v>
      </c>
      <c r="Y12" s="13">
        <f t="shared" si="7"/>
        <v>3.5777087639996641E-3</v>
      </c>
      <c r="Z12" s="13">
        <f t="shared" si="13"/>
        <v>-4.0495841930419445</v>
      </c>
      <c r="AA12" s="24">
        <f t="shared" si="14"/>
        <v>8.9210465794805485E-5</v>
      </c>
      <c r="AD12" s="25"/>
      <c r="AE12" s="25"/>
      <c r="AF12" s="29"/>
    </row>
    <row r="13" spans="1:32" x14ac:dyDescent="0.25">
      <c r="A13" s="35" t="s">
        <v>25</v>
      </c>
      <c r="B13" s="13" t="s">
        <v>26</v>
      </c>
      <c r="C13" s="13">
        <v>58</v>
      </c>
      <c r="D13" s="13">
        <v>0.26</v>
      </c>
      <c r="E13" s="13">
        <f t="shared" si="8"/>
        <v>0.13</v>
      </c>
      <c r="F13" s="13">
        <f t="shared" si="0"/>
        <v>5.309291584567101E-2</v>
      </c>
      <c r="G13" s="13">
        <f t="shared" si="1"/>
        <v>1.0618583169134202E-2</v>
      </c>
      <c r="H13" s="13">
        <f t="shared" si="2"/>
        <v>5.8137767414994539E-2</v>
      </c>
      <c r="I13" s="13">
        <f t="shared" si="3"/>
        <v>5.8137767414994544E-3</v>
      </c>
      <c r="J13" s="13">
        <f t="shared" si="9"/>
        <v>-3.4494138448876415</v>
      </c>
      <c r="K13" s="13">
        <f t="shared" si="10"/>
        <v>3.5529259425078736E-4</v>
      </c>
      <c r="S13" s="23">
        <f t="shared" si="11"/>
        <v>3.5529259425078736E-4</v>
      </c>
      <c r="T13" s="13">
        <v>0.19</v>
      </c>
      <c r="U13" s="13">
        <f t="shared" si="12"/>
        <v>9.5000000000000001E-2</v>
      </c>
      <c r="V13" s="13">
        <f t="shared" si="4"/>
        <v>2.835287369864975E-2</v>
      </c>
      <c r="W13" s="13">
        <f t="shared" si="5"/>
        <v>5.6705747397299503E-3</v>
      </c>
      <c r="X13" s="13">
        <f t="shared" si="6"/>
        <v>4.2485291572496003E-2</v>
      </c>
      <c r="Y13" s="13">
        <f t="shared" si="7"/>
        <v>4.2485291572496005E-3</v>
      </c>
      <c r="Z13" s="13">
        <f t="shared" si="13"/>
        <v>-3.8351146927844377</v>
      </c>
      <c r="AA13" s="24">
        <f t="shared" si="14"/>
        <v>1.4617910792233586E-4</v>
      </c>
      <c r="AD13" s="25"/>
      <c r="AE13" s="25"/>
      <c r="AF13" s="29"/>
    </row>
    <row r="14" spans="1:32" x14ac:dyDescent="0.25">
      <c r="A14" s="36" t="s">
        <v>28</v>
      </c>
      <c r="B14" s="33" t="s">
        <v>29</v>
      </c>
      <c r="C14" s="13">
        <v>16</v>
      </c>
      <c r="T14" s="13">
        <v>0.08</v>
      </c>
      <c r="U14" s="13">
        <f t="shared" si="12"/>
        <v>0.04</v>
      </c>
      <c r="V14" s="13">
        <f t="shared" si="4"/>
        <v>5.0265482457440003E-3</v>
      </c>
      <c r="W14" s="13">
        <f t="shared" si="5"/>
        <v>1.0053096491488001E-3</v>
      </c>
      <c r="X14" s="13">
        <f t="shared" si="6"/>
        <v>1.7888543819998319E-2</v>
      </c>
      <c r="Y14" s="13">
        <f t="shared" si="7"/>
        <v>1.788854381999832E-3</v>
      </c>
      <c r="Z14" s="13">
        <f t="shared" si="13"/>
        <v>-4.9372506087423753</v>
      </c>
      <c r="AA14" s="24">
        <f t="shared" si="14"/>
        <v>1.1554453024343404E-5</v>
      </c>
      <c r="AD14" s="25"/>
      <c r="AE14" s="25"/>
      <c r="AF14" s="29"/>
    </row>
    <row r="15" spans="1:32" x14ac:dyDescent="0.25">
      <c r="B15" s="20" t="s">
        <v>31</v>
      </c>
      <c r="AA15" s="24"/>
      <c r="AD15" s="25"/>
      <c r="AE15" s="25"/>
      <c r="AF15" s="29"/>
    </row>
    <row r="16" spans="1:32" x14ac:dyDescent="0.25">
      <c r="A16" s="22" t="s">
        <v>15</v>
      </c>
      <c r="B16" s="13" t="s">
        <v>34</v>
      </c>
      <c r="C16" s="13">
        <v>35</v>
      </c>
      <c r="D16" s="13">
        <v>0.16</v>
      </c>
      <c r="E16" s="13">
        <f t="shared" ref="E16:E26" si="15">D16/2</f>
        <v>0.08</v>
      </c>
      <c r="F16" s="13">
        <f t="shared" si="0"/>
        <v>2.0106192982976001E-2</v>
      </c>
      <c r="G16" s="13">
        <f t="shared" si="1"/>
        <v>4.0212385965952002E-3</v>
      </c>
      <c r="H16" s="13">
        <f t="shared" si="2"/>
        <v>3.5777087639996638E-2</v>
      </c>
      <c r="I16" s="13">
        <f t="shared" si="3"/>
        <v>3.5777087639996641E-3</v>
      </c>
      <c r="J16" s="13">
        <f t="shared" ref="J16:J47" si="16">-0.2*LOG(I16)^2+1.91*LOG(I16)+1.82</f>
        <v>-4.0495841930419445</v>
      </c>
      <c r="K16" s="13">
        <f t="shared" ref="K16:K47" si="17">10^(J16)</f>
        <v>8.9210465794805485E-5</v>
      </c>
      <c r="S16" s="23">
        <f t="shared" ref="S16:S63" si="18">K16+R16</f>
        <v>8.9210465794805485E-5</v>
      </c>
      <c r="AA16" s="24"/>
    </row>
    <row r="17" spans="1:29" x14ac:dyDescent="0.25">
      <c r="A17" s="30" t="s">
        <v>37</v>
      </c>
      <c r="B17" s="13" t="s">
        <v>38</v>
      </c>
      <c r="C17" s="13">
        <v>46.5</v>
      </c>
      <c r="D17" s="13">
        <v>0.15</v>
      </c>
      <c r="E17" s="13">
        <f t="shared" si="15"/>
        <v>7.4999999999999997E-2</v>
      </c>
      <c r="F17" s="13">
        <f t="shared" si="0"/>
        <v>1.7671458676443749E-2</v>
      </c>
      <c r="G17" s="13">
        <f t="shared" si="1"/>
        <v>3.5342917352887498E-3</v>
      </c>
      <c r="H17" s="13">
        <f t="shared" si="2"/>
        <v>3.3541019662496847E-2</v>
      </c>
      <c r="I17" s="13">
        <f t="shared" si="3"/>
        <v>3.3541019662496848E-3</v>
      </c>
      <c r="J17" s="13">
        <f t="shared" si="16"/>
        <v>-4.1307039088666961</v>
      </c>
      <c r="K17" s="13">
        <f t="shared" si="17"/>
        <v>7.4010969139631005E-5</v>
      </c>
      <c r="S17" s="23">
        <f t="shared" si="18"/>
        <v>7.4010969139631005E-5</v>
      </c>
      <c r="AA17" s="24"/>
      <c r="AB17" s="39"/>
      <c r="AC17" s="39"/>
    </row>
    <row r="18" spans="1:29" x14ac:dyDescent="0.25">
      <c r="A18" s="30" t="s">
        <v>39</v>
      </c>
      <c r="B18" s="13" t="s">
        <v>40</v>
      </c>
      <c r="C18" s="13">
        <v>838</v>
      </c>
      <c r="D18" s="13">
        <v>0.61</v>
      </c>
      <c r="E18" s="13">
        <f t="shared" si="15"/>
        <v>0.30499999999999999</v>
      </c>
      <c r="F18" s="13">
        <f t="shared" si="0"/>
        <v>0.29224665660020976</v>
      </c>
      <c r="G18" s="13">
        <f t="shared" si="1"/>
        <v>5.8449331320041951E-2</v>
      </c>
      <c r="H18" s="13">
        <f t="shared" si="2"/>
        <v>0.13640014662748717</v>
      </c>
      <c r="I18" s="13">
        <f t="shared" si="3"/>
        <v>1.3640014662748718E-2</v>
      </c>
      <c r="J18" s="13">
        <f t="shared" si="16"/>
        <v>-2.4382867993102231</v>
      </c>
      <c r="K18" s="13">
        <f t="shared" si="17"/>
        <v>3.6451315029847257E-3</v>
      </c>
      <c r="S18" s="23">
        <f t="shared" si="18"/>
        <v>3.6451315029847257E-3</v>
      </c>
      <c r="AA18" s="24"/>
    </row>
    <row r="19" spans="1:29" x14ac:dyDescent="0.25">
      <c r="A19" s="30" t="s">
        <v>41</v>
      </c>
      <c r="B19" s="13" t="s">
        <v>42</v>
      </c>
      <c r="C19" s="13">
        <v>768</v>
      </c>
      <c r="D19" s="13">
        <v>0.7</v>
      </c>
      <c r="E19" s="13">
        <f t="shared" si="15"/>
        <v>0.35</v>
      </c>
      <c r="F19" s="13">
        <f t="shared" si="0"/>
        <v>0.38484510006477496</v>
      </c>
      <c r="G19" s="13">
        <f t="shared" si="1"/>
        <v>7.6969020012954997E-2</v>
      </c>
      <c r="H19" s="13">
        <f t="shared" si="2"/>
        <v>0.15652475842498528</v>
      </c>
      <c r="I19" s="13">
        <f t="shared" si="3"/>
        <v>1.5652475842498528E-2</v>
      </c>
      <c r="J19" s="13">
        <f t="shared" si="16"/>
        <v>-2.2802524677470393</v>
      </c>
      <c r="K19" s="13">
        <f t="shared" si="17"/>
        <v>5.2450246339171185E-3</v>
      </c>
      <c r="S19" s="23">
        <f t="shared" si="18"/>
        <v>5.2450246339171185E-3</v>
      </c>
      <c r="AA19" s="24"/>
    </row>
    <row r="20" spans="1:29" x14ac:dyDescent="0.25">
      <c r="A20" s="36" t="s">
        <v>43</v>
      </c>
      <c r="B20" s="33" t="s">
        <v>44</v>
      </c>
      <c r="C20" s="13">
        <v>846</v>
      </c>
      <c r="D20" s="13">
        <v>0.55000000000000004</v>
      </c>
      <c r="E20" s="13">
        <f t="shared" si="15"/>
        <v>0.27500000000000002</v>
      </c>
      <c r="F20" s="13">
        <f t="shared" si="0"/>
        <v>0.2375829444277438</v>
      </c>
      <c r="G20" s="13">
        <f t="shared" si="1"/>
        <v>4.7516588885548758E-2</v>
      </c>
      <c r="H20" s="13">
        <f t="shared" si="2"/>
        <v>0.12298373876248844</v>
      </c>
      <c r="I20" s="13">
        <f t="shared" si="3"/>
        <v>1.2298373876248846E-2</v>
      </c>
      <c r="J20" s="13">
        <f t="shared" si="16"/>
        <v>-2.5581272771346999</v>
      </c>
      <c r="K20" s="13">
        <f t="shared" si="17"/>
        <v>2.7661308665049063E-3</v>
      </c>
      <c r="S20" s="23">
        <f t="shared" si="18"/>
        <v>2.7661308665049063E-3</v>
      </c>
      <c r="AA20" s="24"/>
    </row>
    <row r="21" spans="1:29" x14ac:dyDescent="0.25">
      <c r="A21" s="30" t="s">
        <v>45</v>
      </c>
      <c r="B21" s="13" t="s">
        <v>46</v>
      </c>
      <c r="C21" s="13">
        <v>101.4</v>
      </c>
      <c r="D21" s="13">
        <v>0.27</v>
      </c>
      <c r="E21" s="13">
        <f t="shared" si="15"/>
        <v>0.13500000000000001</v>
      </c>
      <c r="F21" s="13">
        <f t="shared" si="0"/>
        <v>5.7255526111677758E-2</v>
      </c>
      <c r="G21" s="13">
        <f t="shared" si="1"/>
        <v>1.1451105222335552E-2</v>
      </c>
      <c r="H21" s="13">
        <f t="shared" si="2"/>
        <v>6.0373835392494329E-2</v>
      </c>
      <c r="I21" s="13">
        <f t="shared" si="3"/>
        <v>6.0373835392494336E-3</v>
      </c>
      <c r="J21" s="13">
        <f t="shared" si="16"/>
        <v>-3.4035052958979186</v>
      </c>
      <c r="K21" s="13">
        <f t="shared" si="17"/>
        <v>3.9490688372413471E-4</v>
      </c>
      <c r="S21" s="23">
        <f t="shared" si="18"/>
        <v>3.9490688372413471E-4</v>
      </c>
      <c r="AA21" s="24"/>
    </row>
    <row r="22" spans="1:29" x14ac:dyDescent="0.25">
      <c r="A22" s="30" t="s">
        <v>47</v>
      </c>
      <c r="B22" s="13" t="s">
        <v>48</v>
      </c>
      <c r="C22" s="13">
        <v>1360</v>
      </c>
      <c r="D22" s="13">
        <v>0.52</v>
      </c>
      <c r="E22" s="13">
        <f t="shared" si="15"/>
        <v>0.26</v>
      </c>
      <c r="F22" s="13">
        <f t="shared" si="0"/>
        <v>0.21237166338268404</v>
      </c>
      <c r="G22" s="13">
        <f t="shared" si="1"/>
        <v>4.2474332676536809E-2</v>
      </c>
      <c r="H22" s="13">
        <f t="shared" si="2"/>
        <v>0.11627553482998908</v>
      </c>
      <c r="I22" s="13">
        <f t="shared" si="3"/>
        <v>1.1627553482998909E-2</v>
      </c>
      <c r="J22" s="13">
        <f t="shared" si="16"/>
        <v>-2.6233843275615865</v>
      </c>
      <c r="K22" s="13">
        <f t="shared" si="17"/>
        <v>2.3802121756548475E-3</v>
      </c>
      <c r="S22" s="23">
        <f t="shared" si="18"/>
        <v>2.3802121756548475E-3</v>
      </c>
      <c r="AA22" s="24"/>
    </row>
    <row r="23" spans="1:29" x14ac:dyDescent="0.25">
      <c r="A23" s="30" t="s">
        <v>49</v>
      </c>
      <c r="B23" s="13" t="s">
        <v>50</v>
      </c>
      <c r="C23" s="13">
        <v>4000</v>
      </c>
      <c r="D23" s="13">
        <v>0.99</v>
      </c>
      <c r="E23" s="13">
        <f t="shared" si="15"/>
        <v>0.495</v>
      </c>
      <c r="F23" s="13">
        <f t="shared" si="0"/>
        <v>0.76976873994588979</v>
      </c>
      <c r="G23" s="13">
        <f t="shared" si="1"/>
        <v>0.15395374798917796</v>
      </c>
      <c r="H23" s="13">
        <f t="shared" si="2"/>
        <v>0.22137072977247918</v>
      </c>
      <c r="I23" s="13">
        <f t="shared" si="3"/>
        <v>2.2137072977247919E-2</v>
      </c>
      <c r="J23" s="13">
        <f t="shared" si="16"/>
        <v>-1.8885458568084339</v>
      </c>
      <c r="K23" s="13">
        <f t="shared" si="17"/>
        <v>1.2925702121418414E-2</v>
      </c>
      <c r="S23" s="23">
        <f t="shared" si="18"/>
        <v>1.2925702121418414E-2</v>
      </c>
      <c r="AA23" s="24"/>
    </row>
    <row r="24" spans="1:29" x14ac:dyDescent="0.25">
      <c r="A24" s="30" t="s">
        <v>51</v>
      </c>
      <c r="B24" s="13" t="s">
        <v>52</v>
      </c>
      <c r="C24" s="13">
        <v>307</v>
      </c>
      <c r="D24" s="13">
        <v>0.45</v>
      </c>
      <c r="E24" s="13">
        <f t="shared" si="15"/>
        <v>0.22500000000000001</v>
      </c>
      <c r="F24" s="13">
        <f t="shared" si="0"/>
        <v>0.15904312808799376</v>
      </c>
      <c r="G24" s="13">
        <f t="shared" si="1"/>
        <v>3.180862561759875E-2</v>
      </c>
      <c r="H24" s="13">
        <f t="shared" si="2"/>
        <v>0.10062305898749054</v>
      </c>
      <c r="I24" s="13">
        <f t="shared" si="3"/>
        <v>1.0062305898749055E-2</v>
      </c>
      <c r="J24" s="13">
        <f t="shared" si="16"/>
        <v>-2.7926911871119655</v>
      </c>
      <c r="K24" s="13">
        <f t="shared" si="17"/>
        <v>1.6117913209542447E-3</v>
      </c>
      <c r="S24" s="23">
        <f t="shared" si="18"/>
        <v>1.6117913209542447E-3</v>
      </c>
      <c r="AA24" s="24"/>
    </row>
    <row r="25" spans="1:29" x14ac:dyDescent="0.25">
      <c r="A25" s="30" t="s">
        <v>53</v>
      </c>
      <c r="B25" s="13" t="s">
        <v>54</v>
      </c>
      <c r="C25" s="13">
        <v>769</v>
      </c>
      <c r="D25" s="13">
        <v>0.35</v>
      </c>
      <c r="E25" s="13">
        <f t="shared" si="15"/>
        <v>0.17499999999999999</v>
      </c>
      <c r="F25" s="13">
        <f t="shared" si="0"/>
        <v>9.621127501619374E-2</v>
      </c>
      <c r="G25" s="13">
        <f t="shared" si="1"/>
        <v>1.9242255003238749E-2</v>
      </c>
      <c r="H25" s="13">
        <f t="shared" si="2"/>
        <v>7.8262379212492642E-2</v>
      </c>
      <c r="I25" s="13">
        <f t="shared" si="3"/>
        <v>7.8262379212492642E-3</v>
      </c>
      <c r="J25" s="13">
        <f t="shared" si="16"/>
        <v>-3.090737434716555</v>
      </c>
      <c r="K25" s="13">
        <f t="shared" si="17"/>
        <v>8.1145149604365638E-4</v>
      </c>
      <c r="S25" s="23">
        <f t="shared" si="18"/>
        <v>8.1145149604365638E-4</v>
      </c>
      <c r="AA25" s="24"/>
    </row>
    <row r="26" spans="1:29" x14ac:dyDescent="0.25">
      <c r="A26" s="30" t="s">
        <v>55</v>
      </c>
      <c r="B26" s="13" t="s">
        <v>56</v>
      </c>
      <c r="D26" s="13">
        <v>0.37</v>
      </c>
      <c r="E26" s="13">
        <f t="shared" si="15"/>
        <v>0.185</v>
      </c>
      <c r="F26" s="13">
        <f t="shared" si="0"/>
        <v>0.10752100856911775</v>
      </c>
      <c r="G26" s="13">
        <f t="shared" si="1"/>
        <v>2.1504201713823549E-2</v>
      </c>
      <c r="H26" s="13">
        <f t="shared" si="2"/>
        <v>8.2734515167492209E-2</v>
      </c>
      <c r="I26" s="13">
        <f t="shared" si="3"/>
        <v>8.2734515167492209E-3</v>
      </c>
      <c r="J26" s="13">
        <f t="shared" si="16"/>
        <v>-3.0244240669107203</v>
      </c>
      <c r="K26" s="13">
        <f t="shared" si="17"/>
        <v>9.4531365890086132E-4</v>
      </c>
      <c r="S26" s="23">
        <f t="shared" si="18"/>
        <v>9.4531365890086132E-4</v>
      </c>
      <c r="AA26" s="24"/>
    </row>
    <row r="27" spans="1:29" x14ac:dyDescent="0.25">
      <c r="A27" s="22" t="s">
        <v>57</v>
      </c>
      <c r="B27" s="13" t="s">
        <v>58</v>
      </c>
      <c r="D27" s="13" t="s">
        <v>59</v>
      </c>
      <c r="E27" s="13">
        <v>0.16</v>
      </c>
      <c r="F27" s="13">
        <f t="shared" si="0"/>
        <v>8.0424771931904004E-2</v>
      </c>
      <c r="G27" s="13">
        <f t="shared" si="1"/>
        <v>1.6084954386380801E-2</v>
      </c>
      <c r="H27" s="13">
        <f t="shared" si="2"/>
        <v>7.1554175279993276E-2</v>
      </c>
      <c r="I27" s="13">
        <f t="shared" si="3"/>
        <v>7.1554175279993281E-3</v>
      </c>
      <c r="J27" s="13">
        <f t="shared" si="16"/>
        <v>-3.1981654006572988</v>
      </c>
      <c r="K27" s="13">
        <f t="shared" si="17"/>
        <v>6.3362834851987389E-4</v>
      </c>
      <c r="L27" s="13">
        <v>0.32500000000000001</v>
      </c>
      <c r="M27" s="13">
        <f>3.14159265359*(L27)^2</f>
        <v>0.33183072403544378</v>
      </c>
      <c r="N27" s="13">
        <f>(M27)*2/10</f>
        <v>6.6366144807088759E-2</v>
      </c>
      <c r="O27" s="13">
        <f>SQRT(N27/3.14159265359)</f>
        <v>0.14534441853748634</v>
      </c>
      <c r="P27" s="13">
        <f>(O27*0.1)</f>
        <v>1.4534441853748635E-2</v>
      </c>
      <c r="Q27" s="13">
        <f>-0.2*LOG(P27)^2+1.91*LOG(P27)+1.82</f>
        <v>-2.3651750930114481</v>
      </c>
      <c r="R27" s="13">
        <f>10^(Q27)</f>
        <v>4.3134513783237753E-3</v>
      </c>
      <c r="S27" s="23">
        <f t="shared" si="18"/>
        <v>4.9470797268436496E-3</v>
      </c>
      <c r="AA27" s="24"/>
    </row>
    <row r="28" spans="1:29" x14ac:dyDescent="0.25">
      <c r="A28" s="36" t="s">
        <v>60</v>
      </c>
      <c r="B28" s="33" t="s">
        <v>61</v>
      </c>
      <c r="C28" s="13">
        <v>1224</v>
      </c>
      <c r="D28" s="13">
        <v>0.57999999999999996</v>
      </c>
      <c r="E28" s="13">
        <f t="shared" ref="E28:E39" si="19">D28/2</f>
        <v>0.28999999999999998</v>
      </c>
      <c r="F28" s="13">
        <f t="shared" si="0"/>
        <v>0.26420794216691901</v>
      </c>
      <c r="G28" s="13">
        <f t="shared" si="1"/>
        <v>5.2841588433383803E-2</v>
      </c>
      <c r="H28" s="13">
        <f t="shared" si="2"/>
        <v>0.12969194269498782</v>
      </c>
      <c r="I28" s="13">
        <f t="shared" si="3"/>
        <v>1.2969194269498783E-2</v>
      </c>
      <c r="J28" s="13">
        <f t="shared" si="16"/>
        <v>-2.4965556504901212</v>
      </c>
      <c r="K28" s="13">
        <f t="shared" si="17"/>
        <v>3.1874571088072201E-3</v>
      </c>
      <c r="S28" s="23">
        <f t="shared" si="18"/>
        <v>3.1874571088072201E-3</v>
      </c>
      <c r="AA28" s="24"/>
    </row>
    <row r="29" spans="1:29" x14ac:dyDescent="0.25">
      <c r="A29" s="36" t="s">
        <v>62</v>
      </c>
      <c r="B29" s="33" t="s">
        <v>63</v>
      </c>
      <c r="C29" s="13">
        <v>98.6</v>
      </c>
      <c r="D29" s="13">
        <v>0.18</v>
      </c>
      <c r="E29" s="13">
        <f t="shared" si="19"/>
        <v>0.09</v>
      </c>
      <c r="F29" s="13">
        <f t="shared" si="0"/>
        <v>2.5446900494078998E-2</v>
      </c>
      <c r="G29" s="13">
        <f t="shared" si="1"/>
        <v>5.0893800988157994E-3</v>
      </c>
      <c r="H29" s="13">
        <f t="shared" si="2"/>
        <v>4.0249223594996213E-2</v>
      </c>
      <c r="I29" s="13">
        <f t="shared" si="3"/>
        <v>4.0249223594996213E-3</v>
      </c>
      <c r="J29" s="13">
        <f t="shared" si="16"/>
        <v>-3.9023504809064118</v>
      </c>
      <c r="K29" s="13">
        <f t="shared" si="17"/>
        <v>1.25213028279306E-4</v>
      </c>
      <c r="S29" s="23">
        <f t="shared" si="18"/>
        <v>1.25213028279306E-4</v>
      </c>
      <c r="AA29" s="24"/>
    </row>
    <row r="30" spans="1:29" x14ac:dyDescent="0.25">
      <c r="A30" s="30" t="s">
        <v>64</v>
      </c>
      <c r="B30" s="13" t="s">
        <v>65</v>
      </c>
      <c r="C30" s="13">
        <v>162</v>
      </c>
      <c r="D30" s="13">
        <v>0.16</v>
      </c>
      <c r="E30" s="13">
        <f t="shared" si="19"/>
        <v>0.08</v>
      </c>
      <c r="F30" s="13">
        <f t="shared" si="0"/>
        <v>2.0106192982976001E-2</v>
      </c>
      <c r="G30" s="13">
        <f t="shared" si="1"/>
        <v>4.0212385965952002E-3</v>
      </c>
      <c r="H30" s="13">
        <f t="shared" si="2"/>
        <v>3.5777087639996638E-2</v>
      </c>
      <c r="I30" s="13">
        <f t="shared" si="3"/>
        <v>3.5777087639996641E-3</v>
      </c>
      <c r="J30" s="13">
        <f t="shared" si="16"/>
        <v>-4.0495841930419445</v>
      </c>
      <c r="K30" s="13">
        <f t="shared" si="17"/>
        <v>8.9210465794805485E-5</v>
      </c>
      <c r="S30" s="23">
        <f t="shared" si="18"/>
        <v>8.9210465794805485E-5</v>
      </c>
      <c r="AA30" s="24"/>
    </row>
    <row r="31" spans="1:29" x14ac:dyDescent="0.25">
      <c r="A31" s="30" t="s">
        <v>66</v>
      </c>
      <c r="B31" s="13" t="s">
        <v>67</v>
      </c>
      <c r="C31" s="13">
        <v>9440</v>
      </c>
      <c r="D31" s="13">
        <v>0.51</v>
      </c>
      <c r="E31" s="13">
        <f t="shared" si="19"/>
        <v>0.255</v>
      </c>
      <c r="F31" s="13">
        <f t="shared" si="0"/>
        <v>0.20428206229968976</v>
      </c>
      <c r="G31" s="13">
        <f t="shared" si="1"/>
        <v>4.0856412459937951E-2</v>
      </c>
      <c r="H31" s="13">
        <f t="shared" si="2"/>
        <v>0.11403946685248927</v>
      </c>
      <c r="I31" s="13">
        <f t="shared" si="3"/>
        <v>1.1403946685248927E-2</v>
      </c>
      <c r="J31" s="13">
        <f t="shared" si="16"/>
        <v>-2.6460315255726785</v>
      </c>
      <c r="K31" s="13">
        <f t="shared" si="17"/>
        <v>2.2592717630223759E-3</v>
      </c>
      <c r="S31" s="23">
        <f t="shared" si="18"/>
        <v>2.2592717630223759E-3</v>
      </c>
      <c r="AA31" s="24"/>
    </row>
    <row r="32" spans="1:29" x14ac:dyDescent="0.25">
      <c r="A32" s="30" t="s">
        <v>68</v>
      </c>
      <c r="B32" s="13" t="s">
        <v>69</v>
      </c>
      <c r="C32" s="13">
        <v>240</v>
      </c>
      <c r="D32" s="13">
        <v>0.24</v>
      </c>
      <c r="E32" s="13">
        <f t="shared" si="19"/>
        <v>0.12</v>
      </c>
      <c r="F32" s="13">
        <f t="shared" si="0"/>
        <v>4.5238934211696002E-2</v>
      </c>
      <c r="G32" s="13">
        <f t="shared" si="1"/>
        <v>9.0477868423392005E-3</v>
      </c>
      <c r="H32" s="13">
        <f t="shared" si="2"/>
        <v>5.3665631459994957E-2</v>
      </c>
      <c r="I32" s="13">
        <f t="shared" si="3"/>
        <v>5.3665631459994959E-3</v>
      </c>
      <c r="J32" s="13">
        <f t="shared" si="16"/>
        <v>-3.5471360032007997</v>
      </c>
      <c r="K32" s="13">
        <f t="shared" si="17"/>
        <v>2.8370304478597078E-4</v>
      </c>
      <c r="S32" s="23">
        <f t="shared" si="18"/>
        <v>2.8370304478597078E-4</v>
      </c>
      <c r="AA32" s="24"/>
    </row>
    <row r="33" spans="1:27" x14ac:dyDescent="0.25">
      <c r="A33" s="30" t="s">
        <v>70</v>
      </c>
      <c r="B33" s="13" t="s">
        <v>71</v>
      </c>
      <c r="D33" s="13">
        <v>0.32</v>
      </c>
      <c r="E33" s="13">
        <f t="shared" si="19"/>
        <v>0.16</v>
      </c>
      <c r="F33" s="13">
        <f t="shared" si="0"/>
        <v>8.0424771931904004E-2</v>
      </c>
      <c r="G33" s="13">
        <f t="shared" si="1"/>
        <v>1.6084954386380801E-2</v>
      </c>
      <c r="H33" s="13">
        <f t="shared" si="2"/>
        <v>7.1554175279993276E-2</v>
      </c>
      <c r="I33" s="13">
        <f t="shared" si="3"/>
        <v>7.1554175279993281E-3</v>
      </c>
      <c r="J33" s="13">
        <f t="shared" si="16"/>
        <v>-3.1981654006572988</v>
      </c>
      <c r="K33" s="13">
        <f t="shared" si="17"/>
        <v>6.3362834851987389E-4</v>
      </c>
      <c r="S33" s="23">
        <f t="shared" si="18"/>
        <v>6.3362834851987389E-4</v>
      </c>
      <c r="AA33" s="24"/>
    </row>
    <row r="34" spans="1:27" x14ac:dyDescent="0.25">
      <c r="A34" s="30" t="s">
        <v>72</v>
      </c>
      <c r="B34" s="13" t="s">
        <v>73</v>
      </c>
      <c r="C34" s="13">
        <v>640</v>
      </c>
      <c r="D34" s="13">
        <v>0.26</v>
      </c>
      <c r="E34" s="13">
        <f t="shared" si="19"/>
        <v>0.13</v>
      </c>
      <c r="F34" s="13">
        <f t="shared" si="0"/>
        <v>5.309291584567101E-2</v>
      </c>
      <c r="G34" s="13">
        <f t="shared" si="1"/>
        <v>1.0618583169134202E-2</v>
      </c>
      <c r="H34" s="13">
        <f t="shared" si="2"/>
        <v>5.8137767414994539E-2</v>
      </c>
      <c r="I34" s="13">
        <f t="shared" si="3"/>
        <v>5.8137767414994544E-3</v>
      </c>
      <c r="J34" s="13">
        <f t="shared" si="16"/>
        <v>-3.4494138448876415</v>
      </c>
      <c r="K34" s="13">
        <f t="shared" si="17"/>
        <v>3.5529259425078736E-4</v>
      </c>
      <c r="S34" s="23">
        <f t="shared" si="18"/>
        <v>3.5529259425078736E-4</v>
      </c>
      <c r="AA34" s="24"/>
    </row>
    <row r="35" spans="1:27" x14ac:dyDescent="0.25">
      <c r="A35" s="30" t="s">
        <v>74</v>
      </c>
      <c r="B35" s="13" t="s">
        <v>75</v>
      </c>
      <c r="C35" s="13">
        <v>790</v>
      </c>
      <c r="D35" s="13">
        <v>0.21</v>
      </c>
      <c r="E35" s="13">
        <f t="shared" si="19"/>
        <v>0.105</v>
      </c>
      <c r="F35" s="13">
        <f t="shared" si="0"/>
        <v>3.4636059005829743E-2</v>
      </c>
      <c r="G35" s="13">
        <f t="shared" si="1"/>
        <v>6.9272118011659486E-3</v>
      </c>
      <c r="H35" s="13">
        <f t="shared" si="2"/>
        <v>4.6957427527495578E-2</v>
      </c>
      <c r="I35" s="13">
        <f t="shared" si="3"/>
        <v>4.6957427527495581E-3</v>
      </c>
      <c r="J35" s="13">
        <f t="shared" si="16"/>
        <v>-3.7112369691303053</v>
      </c>
      <c r="K35" s="13">
        <f t="shared" si="17"/>
        <v>1.9442989017988033E-4</v>
      </c>
      <c r="S35" s="23">
        <f t="shared" si="18"/>
        <v>1.9442989017988033E-4</v>
      </c>
      <c r="AA35" s="24"/>
    </row>
    <row r="36" spans="1:27" x14ac:dyDescent="0.25">
      <c r="A36" s="30" t="s">
        <v>76</v>
      </c>
      <c r="B36" s="13" t="s">
        <v>77</v>
      </c>
      <c r="C36" s="13">
        <v>36</v>
      </c>
      <c r="D36" s="13">
        <v>0.17</v>
      </c>
      <c r="E36" s="13">
        <f t="shared" si="19"/>
        <v>8.5000000000000006E-2</v>
      </c>
      <c r="F36" s="13">
        <f t="shared" si="0"/>
        <v>2.2698006922187756E-2</v>
      </c>
      <c r="G36" s="13">
        <f t="shared" si="1"/>
        <v>4.5396013844375511E-3</v>
      </c>
      <c r="H36" s="13">
        <f t="shared" si="2"/>
        <v>3.8013155617496429E-2</v>
      </c>
      <c r="I36" s="13">
        <f t="shared" si="3"/>
        <v>3.8013155617496429E-3</v>
      </c>
      <c r="J36" s="13">
        <f t="shared" si="16"/>
        <v>-3.9736701689070157</v>
      </c>
      <c r="K36" s="13">
        <f t="shared" si="17"/>
        <v>1.0625021831840211E-4</v>
      </c>
      <c r="S36" s="23">
        <f t="shared" si="18"/>
        <v>1.0625021831840211E-4</v>
      </c>
      <c r="AA36" s="24"/>
    </row>
    <row r="37" spans="1:27" x14ac:dyDescent="0.25">
      <c r="A37" s="36" t="s">
        <v>78</v>
      </c>
      <c r="B37" s="33" t="s">
        <v>79</v>
      </c>
      <c r="C37" s="13">
        <v>65</v>
      </c>
      <c r="D37" s="13">
        <v>0.13</v>
      </c>
      <c r="E37" s="13">
        <f t="shared" si="19"/>
        <v>6.5000000000000002E-2</v>
      </c>
      <c r="F37" s="13">
        <f t="shared" si="0"/>
        <v>1.3273228961417752E-2</v>
      </c>
      <c r="G37" s="13">
        <f t="shared" si="1"/>
        <v>2.6546457922835506E-3</v>
      </c>
      <c r="H37" s="13">
        <f t="shared" si="2"/>
        <v>2.9068883707497269E-2</v>
      </c>
      <c r="I37" s="13">
        <f t="shared" si="3"/>
        <v>2.9068883707497272E-3</v>
      </c>
      <c r="J37" s="13">
        <f t="shared" si="16"/>
        <v>-4.3116909855294807</v>
      </c>
      <c r="K37" s="13">
        <f t="shared" si="17"/>
        <v>4.8787550572199884E-5</v>
      </c>
      <c r="S37" s="23">
        <f t="shared" si="18"/>
        <v>4.8787550572199884E-5</v>
      </c>
      <c r="AA37" s="24"/>
    </row>
    <row r="38" spans="1:27" x14ac:dyDescent="0.25">
      <c r="A38" s="30" t="s">
        <v>80</v>
      </c>
      <c r="B38" s="13" t="s">
        <v>81</v>
      </c>
      <c r="C38" s="13">
        <v>67.7</v>
      </c>
      <c r="D38" s="13">
        <v>0.16</v>
      </c>
      <c r="E38" s="13">
        <f t="shared" si="19"/>
        <v>0.08</v>
      </c>
      <c r="F38" s="13">
        <f t="shared" si="0"/>
        <v>2.0106192982976001E-2</v>
      </c>
      <c r="G38" s="13">
        <f t="shared" si="1"/>
        <v>4.0212385965952002E-3</v>
      </c>
      <c r="H38" s="13">
        <f t="shared" si="2"/>
        <v>3.5777087639996638E-2</v>
      </c>
      <c r="I38" s="13">
        <f t="shared" si="3"/>
        <v>3.5777087639996641E-3</v>
      </c>
      <c r="J38" s="13">
        <f t="shared" si="16"/>
        <v>-4.0495841930419445</v>
      </c>
      <c r="K38" s="13">
        <f t="shared" si="17"/>
        <v>8.9210465794805485E-5</v>
      </c>
      <c r="S38" s="23">
        <f t="shared" si="18"/>
        <v>8.9210465794805485E-5</v>
      </c>
      <c r="AA38" s="24"/>
    </row>
    <row r="39" spans="1:27" x14ac:dyDescent="0.25">
      <c r="A39" s="30" t="s">
        <v>82</v>
      </c>
      <c r="B39" s="13" t="s">
        <v>83</v>
      </c>
      <c r="C39" s="13">
        <v>560</v>
      </c>
      <c r="D39" s="13">
        <v>0.46</v>
      </c>
      <c r="E39" s="13">
        <f t="shared" si="19"/>
        <v>0.23</v>
      </c>
      <c r="F39" s="13">
        <f t="shared" si="0"/>
        <v>0.166190251374911</v>
      </c>
      <c r="G39" s="13">
        <f t="shared" si="1"/>
        <v>3.3238050274982202E-2</v>
      </c>
      <c r="H39" s="13">
        <f t="shared" si="2"/>
        <v>0.10285912696499033</v>
      </c>
      <c r="I39" s="13">
        <f t="shared" si="3"/>
        <v>1.0285912696499033E-2</v>
      </c>
      <c r="J39" s="13">
        <f t="shared" si="16"/>
        <v>-2.7668518976637619</v>
      </c>
      <c r="K39" s="13">
        <f t="shared" si="17"/>
        <v>1.7105985609322295E-3</v>
      </c>
      <c r="S39" s="23">
        <f t="shared" si="18"/>
        <v>1.7105985609322295E-3</v>
      </c>
      <c r="AA39" s="24"/>
    </row>
    <row r="40" spans="1:27" x14ac:dyDescent="0.25">
      <c r="A40" s="30" t="s">
        <v>84</v>
      </c>
      <c r="B40" s="13" t="s">
        <v>85</v>
      </c>
      <c r="C40" s="13">
        <v>217</v>
      </c>
      <c r="D40" s="13" t="s">
        <v>86</v>
      </c>
      <c r="E40" s="13">
        <v>0.105</v>
      </c>
      <c r="F40" s="13">
        <f t="shared" si="0"/>
        <v>3.4636059005829743E-2</v>
      </c>
      <c r="G40" s="13">
        <f t="shared" si="1"/>
        <v>6.9272118011659486E-3</v>
      </c>
      <c r="H40" s="13">
        <f t="shared" si="2"/>
        <v>4.6957427527495578E-2</v>
      </c>
      <c r="I40" s="13">
        <f t="shared" si="3"/>
        <v>4.6957427527495581E-3</v>
      </c>
      <c r="J40" s="13">
        <f t="shared" si="16"/>
        <v>-3.7112369691303053</v>
      </c>
      <c r="K40" s="13">
        <f t="shared" si="17"/>
        <v>1.9442989017988033E-4</v>
      </c>
      <c r="L40" s="13">
        <v>0.115</v>
      </c>
      <c r="M40" s="13">
        <f t="shared" ref="M40:M74" si="20">3.14159265359*(L40)^2</f>
        <v>4.1547562843727751E-2</v>
      </c>
      <c r="N40" s="13">
        <f t="shared" ref="N40:N74" si="21">(M40)*2/10</f>
        <v>8.3095125687455505E-3</v>
      </c>
      <c r="O40" s="13">
        <f t="shared" ref="O40:O74" si="22">SQRT(N40/3.14159265359)</f>
        <v>5.1429563482495166E-2</v>
      </c>
      <c r="P40" s="13">
        <f t="shared" ref="P40:P74" si="23">(O40*0.1)</f>
        <v>5.1429563482495166E-3</v>
      </c>
      <c r="Q40" s="13">
        <f t="shared" ref="Q40:Q74" si="24">-0.2*LOG(P40)^2+1.91*LOG(P40)+1.82</f>
        <v>-3.59929281348278</v>
      </c>
      <c r="R40" s="13">
        <f t="shared" ref="R40:R74" si="25">10^(Q40)</f>
        <v>2.5159800116971213E-4</v>
      </c>
      <c r="S40" s="23">
        <f t="shared" si="18"/>
        <v>4.4602789134959243E-4</v>
      </c>
      <c r="AA40" s="24"/>
    </row>
    <row r="41" spans="1:27" x14ac:dyDescent="0.25">
      <c r="A41" s="30" t="s">
        <v>87</v>
      </c>
      <c r="B41" s="13" t="s">
        <v>88</v>
      </c>
      <c r="D41" s="13">
        <v>0.25</v>
      </c>
      <c r="E41" s="13">
        <f>D41/2</f>
        <v>0.125</v>
      </c>
      <c r="F41" s="13">
        <f t="shared" si="0"/>
        <v>4.9087385212343751E-2</v>
      </c>
      <c r="G41" s="13">
        <f t="shared" si="1"/>
        <v>9.8174770424687505E-3</v>
      </c>
      <c r="H41" s="13">
        <f t="shared" si="2"/>
        <v>5.5901699437494741E-2</v>
      </c>
      <c r="I41" s="13">
        <f t="shared" si="3"/>
        <v>5.5901699437494743E-3</v>
      </c>
      <c r="J41" s="13">
        <f t="shared" si="16"/>
        <v>-3.4972370456533026</v>
      </c>
      <c r="K41" s="13">
        <f t="shared" si="17"/>
        <v>3.1824600043064521E-4</v>
      </c>
      <c r="S41" s="23">
        <f t="shared" si="18"/>
        <v>3.1824600043064521E-4</v>
      </c>
      <c r="AA41" s="24"/>
    </row>
    <row r="42" spans="1:27" x14ac:dyDescent="0.25">
      <c r="A42" s="36" t="s">
        <v>89</v>
      </c>
      <c r="B42" s="33" t="s">
        <v>90</v>
      </c>
      <c r="C42" s="13">
        <v>1430</v>
      </c>
      <c r="D42" s="13" t="s">
        <v>91</v>
      </c>
      <c r="E42" s="13">
        <v>0.255</v>
      </c>
      <c r="F42" s="13">
        <f t="shared" si="0"/>
        <v>0.20428206229968976</v>
      </c>
      <c r="G42" s="13">
        <f t="shared" si="1"/>
        <v>4.0856412459937951E-2</v>
      </c>
      <c r="H42" s="13">
        <f t="shared" si="2"/>
        <v>0.11403946685248927</v>
      </c>
      <c r="I42" s="13">
        <f t="shared" si="3"/>
        <v>1.1403946685248927E-2</v>
      </c>
      <c r="J42" s="13">
        <f t="shared" si="16"/>
        <v>-2.6460315255726785</v>
      </c>
      <c r="K42" s="13">
        <f t="shared" si="17"/>
        <v>2.2592717630223759E-3</v>
      </c>
      <c r="L42" s="13">
        <v>0.28499999999999998</v>
      </c>
      <c r="M42" s="13">
        <f t="shared" si="20"/>
        <v>0.25517586328784775</v>
      </c>
      <c r="N42" s="13">
        <f t="shared" si="21"/>
        <v>5.1035172657569551E-2</v>
      </c>
      <c r="O42" s="13">
        <f t="shared" si="22"/>
        <v>0.12745587471748801</v>
      </c>
      <c r="P42" s="13">
        <f t="shared" si="23"/>
        <v>1.2745587471748802E-2</v>
      </c>
      <c r="Q42" s="13">
        <f t="shared" si="24"/>
        <v>-2.516694925181076</v>
      </c>
      <c r="R42" s="13">
        <f t="shared" si="25"/>
        <v>3.0430218784318844E-3</v>
      </c>
      <c r="S42" s="23">
        <f t="shared" si="18"/>
        <v>5.3022936414542608E-3</v>
      </c>
      <c r="AA42" s="24"/>
    </row>
    <row r="43" spans="1:27" x14ac:dyDescent="0.25">
      <c r="A43" s="36" t="s">
        <v>89</v>
      </c>
      <c r="B43" s="33" t="s">
        <v>92</v>
      </c>
      <c r="C43" s="13">
        <v>1050</v>
      </c>
      <c r="D43" s="13" t="s">
        <v>93</v>
      </c>
      <c r="E43" s="13">
        <v>0.2</v>
      </c>
      <c r="F43" s="13">
        <f t="shared" si="0"/>
        <v>0.12566370614360003</v>
      </c>
      <c r="G43" s="13">
        <f t="shared" si="1"/>
        <v>2.5132741228720008E-2</v>
      </c>
      <c r="H43" s="13">
        <f t="shared" si="2"/>
        <v>8.9442719099991602E-2</v>
      </c>
      <c r="I43" s="13">
        <f t="shared" si="3"/>
        <v>8.9442719099991613E-3</v>
      </c>
      <c r="J43" s="13">
        <f t="shared" si="16"/>
        <v>-2.9317826451569768</v>
      </c>
      <c r="K43" s="13">
        <f t="shared" si="17"/>
        <v>1.1700848462526754E-3</v>
      </c>
      <c r="L43" s="13">
        <v>0.22</v>
      </c>
      <c r="M43" s="13">
        <f t="shared" si="20"/>
        <v>0.15205308443375601</v>
      </c>
      <c r="N43" s="13">
        <f t="shared" si="21"/>
        <v>3.0410616886751202E-2</v>
      </c>
      <c r="O43" s="13">
        <f t="shared" si="22"/>
        <v>9.8386991009990751E-2</v>
      </c>
      <c r="P43" s="13">
        <f t="shared" si="23"/>
        <v>9.8386991009990765E-3</v>
      </c>
      <c r="Q43" s="13">
        <f t="shared" si="24"/>
        <v>-2.8191488661236841</v>
      </c>
      <c r="R43" s="13">
        <f t="shared" si="25"/>
        <v>1.5165304467245737E-3</v>
      </c>
      <c r="S43" s="23">
        <f t="shared" si="18"/>
        <v>2.6866152929772491E-3</v>
      </c>
      <c r="AA43" s="24"/>
    </row>
    <row r="44" spans="1:27" x14ac:dyDescent="0.25">
      <c r="A44" s="30" t="s">
        <v>94</v>
      </c>
      <c r="B44" s="13" t="s">
        <v>95</v>
      </c>
      <c r="C44" s="13">
        <v>95.5</v>
      </c>
      <c r="D44" s="13">
        <v>0.17</v>
      </c>
      <c r="E44" s="13">
        <f t="shared" ref="E44:E63" si="26">D44/2</f>
        <v>8.5000000000000006E-2</v>
      </c>
      <c r="F44" s="13">
        <f t="shared" si="0"/>
        <v>2.2698006922187756E-2</v>
      </c>
      <c r="G44" s="13">
        <f t="shared" si="1"/>
        <v>4.5396013844375511E-3</v>
      </c>
      <c r="H44" s="13">
        <f t="shared" si="2"/>
        <v>3.8013155617496429E-2</v>
      </c>
      <c r="I44" s="13">
        <f t="shared" si="3"/>
        <v>3.8013155617496429E-3</v>
      </c>
      <c r="J44" s="13">
        <f t="shared" si="16"/>
        <v>-3.9736701689070157</v>
      </c>
      <c r="K44" s="13">
        <f t="shared" si="17"/>
        <v>1.0625021831840211E-4</v>
      </c>
      <c r="S44" s="23">
        <f t="shared" si="18"/>
        <v>1.0625021831840211E-4</v>
      </c>
      <c r="AA44" s="24"/>
    </row>
    <row r="45" spans="1:27" x14ac:dyDescent="0.25">
      <c r="A45" s="30" t="s">
        <v>96</v>
      </c>
      <c r="B45" s="13" t="s">
        <v>97</v>
      </c>
      <c r="C45" s="13">
        <v>322</v>
      </c>
      <c r="D45" s="13">
        <v>0.23</v>
      </c>
      <c r="E45" s="13">
        <f t="shared" si="26"/>
        <v>0.115</v>
      </c>
      <c r="F45" s="13">
        <f t="shared" si="0"/>
        <v>4.1547562843727751E-2</v>
      </c>
      <c r="G45" s="13">
        <f t="shared" si="1"/>
        <v>8.3095125687455505E-3</v>
      </c>
      <c r="H45" s="13">
        <f t="shared" si="2"/>
        <v>5.1429563482495166E-2</v>
      </c>
      <c r="I45" s="13">
        <f t="shared" si="3"/>
        <v>5.1429563482495166E-3</v>
      </c>
      <c r="J45" s="13">
        <f t="shared" si="16"/>
        <v>-3.59929281348278</v>
      </c>
      <c r="K45" s="13">
        <f t="shared" si="17"/>
        <v>2.5159800116971213E-4</v>
      </c>
      <c r="S45" s="23">
        <f t="shared" si="18"/>
        <v>2.5159800116971213E-4</v>
      </c>
      <c r="AA45" s="24"/>
    </row>
    <row r="46" spans="1:27" x14ac:dyDescent="0.25">
      <c r="A46" s="30" t="s">
        <v>98</v>
      </c>
      <c r="B46" s="13" t="s">
        <v>99</v>
      </c>
      <c r="C46" s="13">
        <v>660</v>
      </c>
      <c r="D46" s="13">
        <v>0.34</v>
      </c>
      <c r="E46" s="13">
        <f t="shared" si="26"/>
        <v>0.17</v>
      </c>
      <c r="F46" s="13">
        <f t="shared" si="0"/>
        <v>9.0792027688751026E-2</v>
      </c>
      <c r="G46" s="13">
        <f t="shared" si="1"/>
        <v>1.8158405537750204E-2</v>
      </c>
      <c r="H46" s="13">
        <f t="shared" si="2"/>
        <v>7.6026311234992858E-2</v>
      </c>
      <c r="I46" s="13">
        <f t="shared" si="3"/>
        <v>7.6026311234992858E-3</v>
      </c>
      <c r="J46" s="13">
        <f t="shared" si="16"/>
        <v>-3.1254216966461383</v>
      </c>
      <c r="K46" s="13">
        <f t="shared" si="17"/>
        <v>7.4916642114160423E-4</v>
      </c>
      <c r="S46" s="23">
        <f t="shared" si="18"/>
        <v>7.4916642114160423E-4</v>
      </c>
      <c r="AA46" s="24"/>
    </row>
    <row r="47" spans="1:27" x14ac:dyDescent="0.25">
      <c r="A47" s="36" t="s">
        <v>98</v>
      </c>
      <c r="B47" s="33" t="s">
        <v>100</v>
      </c>
      <c r="C47" s="13">
        <v>640</v>
      </c>
      <c r="D47" s="13">
        <v>0.38</v>
      </c>
      <c r="E47" s="13">
        <f t="shared" si="26"/>
        <v>0.19</v>
      </c>
      <c r="F47" s="13">
        <f t="shared" si="0"/>
        <v>0.113411494794599</v>
      </c>
      <c r="G47" s="13">
        <f t="shared" si="1"/>
        <v>2.2682298958919801E-2</v>
      </c>
      <c r="H47" s="13">
        <f t="shared" si="2"/>
        <v>8.4970583144992007E-2</v>
      </c>
      <c r="I47" s="13">
        <f t="shared" si="3"/>
        <v>8.497058314499201E-3</v>
      </c>
      <c r="J47" s="13">
        <f t="shared" si="16"/>
        <v>-2.9926826835167111</v>
      </c>
      <c r="K47" s="13">
        <f t="shared" si="17"/>
        <v>1.0169914844797765E-3</v>
      </c>
      <c r="S47" s="23">
        <f t="shared" si="18"/>
        <v>1.0169914844797765E-3</v>
      </c>
      <c r="AA47" s="24"/>
    </row>
    <row r="48" spans="1:27" x14ac:dyDescent="0.25">
      <c r="A48" s="22" t="s">
        <v>101</v>
      </c>
      <c r="B48" s="13" t="s">
        <v>102</v>
      </c>
      <c r="D48" s="13">
        <v>0.7</v>
      </c>
      <c r="E48" s="13">
        <f t="shared" si="26"/>
        <v>0.35</v>
      </c>
      <c r="F48" s="13">
        <f t="shared" si="0"/>
        <v>0.38484510006477496</v>
      </c>
      <c r="G48" s="13">
        <f t="shared" si="1"/>
        <v>7.6969020012954997E-2</v>
      </c>
      <c r="H48" s="13">
        <f t="shared" si="2"/>
        <v>0.15652475842498528</v>
      </c>
      <c r="I48" s="13">
        <f t="shared" si="3"/>
        <v>1.5652475842498528E-2</v>
      </c>
      <c r="J48" s="13">
        <f t="shared" ref="J48:J79" si="27">-0.2*LOG(I48)^2+1.91*LOG(I48)+1.82</f>
        <v>-2.2802524677470393</v>
      </c>
      <c r="K48" s="13">
        <f t="shared" ref="K48:K79" si="28">10^(J48)</f>
        <v>5.2450246339171185E-3</v>
      </c>
      <c r="S48" s="23">
        <f t="shared" si="18"/>
        <v>5.2450246339171185E-3</v>
      </c>
      <c r="AA48" s="24"/>
    </row>
    <row r="49" spans="1:27" x14ac:dyDescent="0.25">
      <c r="A49" s="22" t="s">
        <v>101</v>
      </c>
      <c r="B49" s="13" t="s">
        <v>103</v>
      </c>
      <c r="D49" s="13">
        <v>1.05</v>
      </c>
      <c r="E49" s="13">
        <f t="shared" si="26"/>
        <v>0.52500000000000002</v>
      </c>
      <c r="F49" s="13">
        <f t="shared" si="0"/>
        <v>0.86590147514574378</v>
      </c>
      <c r="G49" s="13">
        <f t="shared" si="1"/>
        <v>0.17318029502914875</v>
      </c>
      <c r="H49" s="13">
        <f t="shared" si="2"/>
        <v>0.23478713763747791</v>
      </c>
      <c r="I49" s="13">
        <f t="shared" si="3"/>
        <v>2.3478713763747792E-2</v>
      </c>
      <c r="J49" s="13">
        <f t="shared" si="27"/>
        <v>-1.8229525311648105</v>
      </c>
      <c r="K49" s="13">
        <f t="shared" si="28"/>
        <v>1.5033062700377251E-2</v>
      </c>
      <c r="S49" s="23">
        <f t="shared" si="18"/>
        <v>1.5033062700377251E-2</v>
      </c>
      <c r="AA49" s="24"/>
    </row>
    <row r="50" spans="1:27" x14ac:dyDescent="0.25">
      <c r="A50" s="22" t="s">
        <v>101</v>
      </c>
      <c r="B50" s="13" t="s">
        <v>104</v>
      </c>
      <c r="D50" s="13">
        <v>1.04</v>
      </c>
      <c r="E50" s="13">
        <f t="shared" si="26"/>
        <v>0.52</v>
      </c>
      <c r="F50" s="13">
        <f t="shared" si="0"/>
        <v>0.84948665353073616</v>
      </c>
      <c r="G50" s="13">
        <f t="shared" si="1"/>
        <v>0.16989733070614724</v>
      </c>
      <c r="H50" s="13">
        <f t="shared" si="2"/>
        <v>0.23255106965997815</v>
      </c>
      <c r="I50" s="13">
        <f t="shared" si="3"/>
        <v>2.3255106965997818E-2</v>
      </c>
      <c r="J50" s="13">
        <f t="shared" si="27"/>
        <v>-1.8336024335513128</v>
      </c>
      <c r="K50" s="13">
        <f t="shared" si="28"/>
        <v>1.4668900625249696E-2</v>
      </c>
      <c r="S50" s="23">
        <f t="shared" si="18"/>
        <v>1.4668900625249696E-2</v>
      </c>
      <c r="AA50" s="24"/>
    </row>
    <row r="51" spans="1:27" x14ac:dyDescent="0.25">
      <c r="A51" s="30" t="s">
        <v>105</v>
      </c>
      <c r="B51" s="13" t="s">
        <v>106</v>
      </c>
      <c r="C51" s="13">
        <v>351</v>
      </c>
      <c r="D51" s="13">
        <v>0.23</v>
      </c>
      <c r="E51" s="13">
        <f t="shared" si="26"/>
        <v>0.115</v>
      </c>
      <c r="F51" s="13">
        <f t="shared" si="0"/>
        <v>4.1547562843727751E-2</v>
      </c>
      <c r="G51" s="13">
        <f t="shared" si="1"/>
        <v>8.3095125687455505E-3</v>
      </c>
      <c r="H51" s="13">
        <f t="shared" si="2"/>
        <v>5.1429563482495166E-2</v>
      </c>
      <c r="I51" s="13">
        <f t="shared" si="3"/>
        <v>5.1429563482495166E-3</v>
      </c>
      <c r="J51" s="13">
        <f t="shared" si="27"/>
        <v>-3.59929281348278</v>
      </c>
      <c r="K51" s="13">
        <f t="shared" si="28"/>
        <v>2.5159800116971213E-4</v>
      </c>
      <c r="S51" s="23">
        <f t="shared" si="18"/>
        <v>2.5159800116971213E-4</v>
      </c>
      <c r="AA51" s="24"/>
    </row>
    <row r="52" spans="1:27" x14ac:dyDescent="0.25">
      <c r="A52" s="30" t="s">
        <v>107</v>
      </c>
      <c r="B52" s="13" t="s">
        <v>108</v>
      </c>
      <c r="C52" s="13">
        <v>455</v>
      </c>
      <c r="D52" s="13">
        <v>0.32</v>
      </c>
      <c r="E52" s="13">
        <f t="shared" si="26"/>
        <v>0.16</v>
      </c>
      <c r="F52" s="13">
        <f t="shared" si="0"/>
        <v>8.0424771931904004E-2</v>
      </c>
      <c r="G52" s="13">
        <f t="shared" si="1"/>
        <v>1.6084954386380801E-2</v>
      </c>
      <c r="H52" s="13">
        <f t="shared" si="2"/>
        <v>7.1554175279993276E-2</v>
      </c>
      <c r="I52" s="13">
        <f t="shared" si="3"/>
        <v>7.1554175279993281E-3</v>
      </c>
      <c r="J52" s="13">
        <f t="shared" si="27"/>
        <v>-3.1981654006572988</v>
      </c>
      <c r="K52" s="13">
        <f t="shared" si="28"/>
        <v>6.3362834851987389E-4</v>
      </c>
      <c r="S52" s="23">
        <f t="shared" si="18"/>
        <v>6.3362834851987389E-4</v>
      </c>
      <c r="AA52" s="24"/>
    </row>
    <row r="53" spans="1:27" x14ac:dyDescent="0.25">
      <c r="A53" s="30" t="s">
        <v>28</v>
      </c>
      <c r="B53" s="13" t="s">
        <v>109</v>
      </c>
      <c r="C53" s="13">
        <v>27</v>
      </c>
      <c r="D53" s="13">
        <v>0.21</v>
      </c>
      <c r="E53" s="13">
        <f t="shared" si="26"/>
        <v>0.105</v>
      </c>
      <c r="F53" s="13">
        <f t="shared" si="0"/>
        <v>3.4636059005829743E-2</v>
      </c>
      <c r="G53" s="13">
        <f t="shared" si="1"/>
        <v>6.9272118011659486E-3</v>
      </c>
      <c r="H53" s="13">
        <f t="shared" si="2"/>
        <v>4.6957427527495578E-2</v>
      </c>
      <c r="I53" s="13">
        <f t="shared" si="3"/>
        <v>4.6957427527495581E-3</v>
      </c>
      <c r="J53" s="13">
        <f t="shared" si="27"/>
        <v>-3.7112369691303053</v>
      </c>
      <c r="K53" s="13">
        <f t="shared" si="28"/>
        <v>1.9442989017988033E-4</v>
      </c>
      <c r="S53" s="23">
        <f t="shared" si="18"/>
        <v>1.9442989017988033E-4</v>
      </c>
      <c r="AA53" s="24"/>
    </row>
    <row r="54" spans="1:27" x14ac:dyDescent="0.25">
      <c r="A54" s="22" t="s">
        <v>110</v>
      </c>
      <c r="B54" s="13" t="s">
        <v>111</v>
      </c>
      <c r="C54" s="13">
        <v>824.5</v>
      </c>
      <c r="D54" s="13">
        <v>0.28999999999999998</v>
      </c>
      <c r="E54" s="13">
        <f t="shared" si="26"/>
        <v>0.14499999999999999</v>
      </c>
      <c r="F54" s="13">
        <f t="shared" si="0"/>
        <v>6.6051985541729752E-2</v>
      </c>
      <c r="G54" s="13">
        <f t="shared" si="1"/>
        <v>1.3210397108345951E-2</v>
      </c>
      <c r="H54" s="13">
        <f t="shared" si="2"/>
        <v>6.4845971347493911E-2</v>
      </c>
      <c r="I54" s="13">
        <f t="shared" si="3"/>
        <v>6.4845971347493913E-3</v>
      </c>
      <c r="J54" s="13">
        <f t="shared" si="27"/>
        <v>-3.3168746709512842</v>
      </c>
      <c r="K54" s="13">
        <f t="shared" si="28"/>
        <v>4.8208689857574924E-4</v>
      </c>
      <c r="S54" s="23">
        <f t="shared" si="18"/>
        <v>4.8208689857574924E-4</v>
      </c>
      <c r="AA54" s="24"/>
    </row>
    <row r="55" spans="1:27" x14ac:dyDescent="0.25">
      <c r="A55" s="30" t="s">
        <v>112</v>
      </c>
      <c r="B55" s="13" t="s">
        <v>113</v>
      </c>
      <c r="C55" s="13">
        <v>1057</v>
      </c>
      <c r="D55" s="13">
        <v>0.32</v>
      </c>
      <c r="E55" s="13">
        <f t="shared" si="26"/>
        <v>0.16</v>
      </c>
      <c r="F55" s="13">
        <f t="shared" si="0"/>
        <v>8.0424771931904004E-2</v>
      </c>
      <c r="G55" s="13">
        <f t="shared" si="1"/>
        <v>1.6084954386380801E-2</v>
      </c>
      <c r="H55" s="13">
        <f t="shared" si="2"/>
        <v>7.1554175279993276E-2</v>
      </c>
      <c r="I55" s="13">
        <f t="shared" si="3"/>
        <v>7.1554175279993281E-3</v>
      </c>
      <c r="J55" s="13">
        <f t="shared" si="27"/>
        <v>-3.1981654006572988</v>
      </c>
      <c r="K55" s="13">
        <f t="shared" si="28"/>
        <v>6.3362834851987389E-4</v>
      </c>
      <c r="S55" s="23">
        <f t="shared" si="18"/>
        <v>6.3362834851987389E-4</v>
      </c>
      <c r="AA55" s="24"/>
    </row>
    <row r="56" spans="1:27" x14ac:dyDescent="0.25">
      <c r="A56" s="22" t="s">
        <v>114</v>
      </c>
      <c r="B56" s="13" t="s">
        <v>115</v>
      </c>
      <c r="C56" s="13">
        <v>685</v>
      </c>
      <c r="D56" s="13">
        <v>0.42</v>
      </c>
      <c r="E56" s="13">
        <f t="shared" si="26"/>
        <v>0.21</v>
      </c>
      <c r="F56" s="13">
        <f t="shared" si="0"/>
        <v>0.13854423602331897</v>
      </c>
      <c r="G56" s="13">
        <f t="shared" si="1"/>
        <v>2.7708847204663795E-2</v>
      </c>
      <c r="H56" s="13">
        <f t="shared" si="2"/>
        <v>9.3914855054991156E-2</v>
      </c>
      <c r="I56" s="13">
        <f t="shared" si="3"/>
        <v>9.3914855054991163E-3</v>
      </c>
      <c r="J56" s="13">
        <f t="shared" si="27"/>
        <v>-2.8740387509067604</v>
      </c>
      <c r="K56" s="13">
        <f t="shared" si="28"/>
        <v>1.3364762611109389E-3</v>
      </c>
      <c r="S56" s="23">
        <f t="shared" si="18"/>
        <v>1.3364762611109389E-3</v>
      </c>
      <c r="AA56" s="24"/>
    </row>
    <row r="57" spans="1:27" x14ac:dyDescent="0.25">
      <c r="A57" s="30" t="s">
        <v>116</v>
      </c>
      <c r="B57" s="13" t="s">
        <v>117</v>
      </c>
      <c r="C57" s="13">
        <v>585</v>
      </c>
      <c r="D57" s="13">
        <v>0.34</v>
      </c>
      <c r="E57" s="13">
        <f t="shared" si="26"/>
        <v>0.17</v>
      </c>
      <c r="F57" s="13">
        <f t="shared" si="0"/>
        <v>9.0792027688751026E-2</v>
      </c>
      <c r="G57" s="13">
        <f t="shared" si="1"/>
        <v>1.8158405537750204E-2</v>
      </c>
      <c r="H57" s="13">
        <f t="shared" si="2"/>
        <v>7.6026311234992858E-2</v>
      </c>
      <c r="I57" s="13">
        <f t="shared" si="3"/>
        <v>7.6026311234992858E-3</v>
      </c>
      <c r="J57" s="13">
        <f t="shared" si="27"/>
        <v>-3.1254216966461383</v>
      </c>
      <c r="K57" s="13">
        <f t="shared" si="28"/>
        <v>7.4916642114160423E-4</v>
      </c>
      <c r="S57" s="23">
        <f t="shared" si="18"/>
        <v>7.4916642114160423E-4</v>
      </c>
      <c r="AA57" s="24"/>
    </row>
    <row r="58" spans="1:27" x14ac:dyDescent="0.25">
      <c r="A58" s="36" t="s">
        <v>118</v>
      </c>
      <c r="B58" s="33" t="s">
        <v>119</v>
      </c>
      <c r="C58" s="13">
        <v>4650</v>
      </c>
      <c r="D58" s="13">
        <v>0.69</v>
      </c>
      <c r="E58" s="13">
        <f t="shared" si="26"/>
        <v>0.34499999999999997</v>
      </c>
      <c r="F58" s="13">
        <f t="shared" si="0"/>
        <v>0.37392806559354969</v>
      </c>
      <c r="G58" s="13">
        <f t="shared" si="1"/>
        <v>7.4785613118709932E-2</v>
      </c>
      <c r="H58" s="13">
        <f t="shared" si="2"/>
        <v>0.15428869044748547</v>
      </c>
      <c r="I58" s="13">
        <f t="shared" si="3"/>
        <v>1.5428869044748548E-2</v>
      </c>
      <c r="J58" s="13">
        <f t="shared" si="27"/>
        <v>-2.2967085543368224</v>
      </c>
      <c r="K58" s="13">
        <f t="shared" si="28"/>
        <v>5.0500007854113902E-3</v>
      </c>
      <c r="S58" s="23">
        <f t="shared" si="18"/>
        <v>5.0500007854113902E-3</v>
      </c>
      <c r="AA58" s="24"/>
    </row>
    <row r="59" spans="1:27" x14ac:dyDescent="0.25">
      <c r="A59" s="36" t="s">
        <v>120</v>
      </c>
      <c r="B59" s="33" t="s">
        <v>121</v>
      </c>
      <c r="C59" s="13">
        <v>188.2</v>
      </c>
      <c r="D59" s="13">
        <v>0.21</v>
      </c>
      <c r="E59" s="13">
        <f t="shared" si="26"/>
        <v>0.105</v>
      </c>
      <c r="F59" s="13">
        <f t="shared" si="0"/>
        <v>3.4636059005829743E-2</v>
      </c>
      <c r="G59" s="13">
        <f t="shared" si="1"/>
        <v>6.9272118011659486E-3</v>
      </c>
      <c r="H59" s="13">
        <f t="shared" si="2"/>
        <v>4.6957427527495578E-2</v>
      </c>
      <c r="I59" s="13">
        <f t="shared" si="3"/>
        <v>4.6957427527495581E-3</v>
      </c>
      <c r="J59" s="13">
        <f t="shared" si="27"/>
        <v>-3.7112369691303053</v>
      </c>
      <c r="K59" s="13">
        <f t="shared" si="28"/>
        <v>1.9442989017988033E-4</v>
      </c>
      <c r="S59" s="23">
        <f t="shared" si="18"/>
        <v>1.9442989017988033E-4</v>
      </c>
      <c r="AA59" s="24"/>
    </row>
    <row r="60" spans="1:27" x14ac:dyDescent="0.25">
      <c r="A60" s="36" t="s">
        <v>122</v>
      </c>
      <c r="B60" s="33" t="s">
        <v>123</v>
      </c>
      <c r="C60" s="13">
        <v>3500</v>
      </c>
      <c r="D60" s="13">
        <v>0.85</v>
      </c>
      <c r="E60" s="13">
        <f t="shared" si="26"/>
        <v>0.42499999999999999</v>
      </c>
      <c r="F60" s="13">
        <f t="shared" si="0"/>
        <v>0.5674501730546937</v>
      </c>
      <c r="G60" s="13">
        <f t="shared" si="1"/>
        <v>0.11349003461093873</v>
      </c>
      <c r="H60" s="13">
        <f t="shared" si="2"/>
        <v>0.19006577808748212</v>
      </c>
      <c r="I60" s="13">
        <f t="shared" si="3"/>
        <v>1.9006577808748214E-2</v>
      </c>
      <c r="J60" s="13">
        <f t="shared" si="27"/>
        <v>-2.059727835636596</v>
      </c>
      <c r="K60" s="13">
        <f t="shared" si="28"/>
        <v>8.7150957787984276E-3</v>
      </c>
      <c r="S60" s="23">
        <f t="shared" si="18"/>
        <v>8.7150957787984276E-3</v>
      </c>
      <c r="AA60" s="24"/>
    </row>
    <row r="61" spans="1:27" x14ac:dyDescent="0.25">
      <c r="A61" s="36" t="s">
        <v>124</v>
      </c>
      <c r="B61" s="13" t="s">
        <v>125</v>
      </c>
      <c r="D61" s="13">
        <v>0.69</v>
      </c>
      <c r="E61" s="13">
        <f t="shared" si="26"/>
        <v>0.34499999999999997</v>
      </c>
      <c r="F61" s="13">
        <f t="shared" si="0"/>
        <v>0.37392806559354969</v>
      </c>
      <c r="G61" s="13">
        <f t="shared" si="1"/>
        <v>7.4785613118709932E-2</v>
      </c>
      <c r="H61" s="13">
        <f t="shared" si="2"/>
        <v>0.15428869044748547</v>
      </c>
      <c r="I61" s="13">
        <f t="shared" si="3"/>
        <v>1.5428869044748548E-2</v>
      </c>
      <c r="J61" s="13">
        <f t="shared" si="27"/>
        <v>-2.2967085543368224</v>
      </c>
      <c r="K61" s="13">
        <f t="shared" si="28"/>
        <v>5.0500007854113902E-3</v>
      </c>
      <c r="S61" s="23">
        <f t="shared" si="18"/>
        <v>5.0500007854113902E-3</v>
      </c>
      <c r="AA61" s="24"/>
    </row>
    <row r="62" spans="1:27" x14ac:dyDescent="0.25">
      <c r="A62" s="30" t="s">
        <v>126</v>
      </c>
      <c r="B62" s="13" t="s">
        <v>127</v>
      </c>
      <c r="C62" s="13">
        <v>150</v>
      </c>
      <c r="D62" s="13">
        <v>0.26</v>
      </c>
      <c r="E62" s="13">
        <f t="shared" si="26"/>
        <v>0.13</v>
      </c>
      <c r="F62" s="13">
        <f t="shared" si="0"/>
        <v>5.309291584567101E-2</v>
      </c>
      <c r="G62" s="13">
        <f t="shared" si="1"/>
        <v>1.0618583169134202E-2</v>
      </c>
      <c r="H62" s="13">
        <f t="shared" si="2"/>
        <v>5.8137767414994539E-2</v>
      </c>
      <c r="I62" s="13">
        <f t="shared" si="3"/>
        <v>5.8137767414994544E-3</v>
      </c>
      <c r="J62" s="13">
        <f t="shared" si="27"/>
        <v>-3.4494138448876415</v>
      </c>
      <c r="K62" s="13">
        <f t="shared" si="28"/>
        <v>3.5529259425078736E-4</v>
      </c>
      <c r="S62" s="23">
        <f t="shared" si="18"/>
        <v>3.5529259425078736E-4</v>
      </c>
      <c r="AA62" s="24"/>
    </row>
    <row r="63" spans="1:27" x14ac:dyDescent="0.25">
      <c r="A63" s="36" t="s">
        <v>128</v>
      </c>
      <c r="B63" s="13" t="s">
        <v>129</v>
      </c>
      <c r="C63" s="13">
        <v>4430</v>
      </c>
      <c r="D63" s="13">
        <v>0.82</v>
      </c>
      <c r="E63" s="13">
        <f t="shared" si="26"/>
        <v>0.41</v>
      </c>
      <c r="F63" s="13">
        <f t="shared" si="0"/>
        <v>0.52810172506847897</v>
      </c>
      <c r="G63" s="13">
        <f t="shared" si="1"/>
        <v>0.1056203450136958</v>
      </c>
      <c r="H63" s="13">
        <f t="shared" si="2"/>
        <v>0.18335757415498274</v>
      </c>
      <c r="I63" s="13">
        <f t="shared" si="3"/>
        <v>1.8335757415498276E-2</v>
      </c>
      <c r="J63" s="13">
        <f t="shared" si="27"/>
        <v>-2.1003253615264725</v>
      </c>
      <c r="K63" s="13">
        <f t="shared" si="28"/>
        <v>7.9373336863138369E-3</v>
      </c>
      <c r="S63" s="23">
        <f t="shared" si="18"/>
        <v>7.9373336863138369E-3</v>
      </c>
      <c r="AA63" s="24"/>
    </row>
    <row r="64" spans="1:27" x14ac:dyDescent="0.25">
      <c r="A64" s="30" t="s">
        <v>130</v>
      </c>
      <c r="B64" s="13" t="s">
        <v>131</v>
      </c>
      <c r="C64" s="13">
        <v>140</v>
      </c>
      <c r="D64" s="13" t="s">
        <v>132</v>
      </c>
      <c r="E64" s="13">
        <v>7.4999999999999997E-2</v>
      </c>
      <c r="F64" s="13">
        <f t="shared" si="0"/>
        <v>1.7671458676443749E-2</v>
      </c>
      <c r="G64" s="13">
        <f t="shared" si="1"/>
        <v>3.5342917352887498E-3</v>
      </c>
      <c r="H64" s="13">
        <f t="shared" si="2"/>
        <v>3.3541019662496847E-2</v>
      </c>
      <c r="I64" s="13">
        <f t="shared" si="3"/>
        <v>3.3541019662496848E-3</v>
      </c>
      <c r="J64" s="13">
        <f t="shared" si="27"/>
        <v>-4.1307039088666961</v>
      </c>
      <c r="K64" s="13">
        <f t="shared" si="28"/>
        <v>7.4010969139631005E-5</v>
      </c>
      <c r="L64" s="13">
        <v>7.4999999999999997E-2</v>
      </c>
      <c r="M64" s="13">
        <f t="shared" si="20"/>
        <v>1.7671458676443749E-2</v>
      </c>
      <c r="N64" s="13">
        <f t="shared" si="21"/>
        <v>3.5342917352887498E-3</v>
      </c>
      <c r="O64" s="13">
        <f t="shared" si="22"/>
        <v>3.3541019662496847E-2</v>
      </c>
      <c r="P64" s="13">
        <f t="shared" si="23"/>
        <v>3.3541019662496848E-3</v>
      </c>
      <c r="Q64" s="13">
        <f t="shared" si="24"/>
        <v>-4.1307039088666961</v>
      </c>
      <c r="R64" s="40">
        <f t="shared" si="25"/>
        <v>7.4010969139631005E-5</v>
      </c>
      <c r="S64" s="23">
        <f>K64+R64</f>
        <v>1.4802193827926201E-4</v>
      </c>
      <c r="AA64" s="24"/>
    </row>
    <row r="65" spans="1:27" x14ac:dyDescent="0.25">
      <c r="A65" s="30" t="s">
        <v>133</v>
      </c>
      <c r="B65" s="13" t="s">
        <v>134</v>
      </c>
      <c r="C65" s="13">
        <v>1175</v>
      </c>
      <c r="D65" s="13" t="s">
        <v>135</v>
      </c>
      <c r="E65" s="13">
        <v>0.16</v>
      </c>
      <c r="F65" s="13">
        <f t="shared" si="0"/>
        <v>8.0424771931904004E-2</v>
      </c>
      <c r="G65" s="13">
        <f t="shared" si="1"/>
        <v>1.6084954386380801E-2</v>
      </c>
      <c r="H65" s="13">
        <f t="shared" si="2"/>
        <v>7.1554175279993276E-2</v>
      </c>
      <c r="I65" s="13">
        <f t="shared" si="3"/>
        <v>7.1554175279993281E-3</v>
      </c>
      <c r="J65" s="13">
        <f t="shared" si="27"/>
        <v>-3.1981654006572988</v>
      </c>
      <c r="K65" s="13">
        <f t="shared" si="28"/>
        <v>6.3362834851987389E-4</v>
      </c>
      <c r="L65" s="13">
        <v>0.19</v>
      </c>
      <c r="M65" s="13">
        <f t="shared" si="20"/>
        <v>0.113411494794599</v>
      </c>
      <c r="N65" s="13">
        <f t="shared" si="21"/>
        <v>2.2682298958919801E-2</v>
      </c>
      <c r="O65" s="13">
        <f t="shared" si="22"/>
        <v>8.4970583144992007E-2</v>
      </c>
      <c r="P65" s="13">
        <f t="shared" si="23"/>
        <v>8.497058314499201E-3</v>
      </c>
      <c r="Q65" s="13">
        <f t="shared" si="24"/>
        <v>-2.9926826835167111</v>
      </c>
      <c r="R65" s="13">
        <f t="shared" si="25"/>
        <v>1.0169914844797765E-3</v>
      </c>
      <c r="S65" s="23">
        <f>K65+R65</f>
        <v>1.6506198329996505E-3</v>
      </c>
      <c r="AA65" s="24"/>
    </row>
    <row r="66" spans="1:27" x14ac:dyDescent="0.25">
      <c r="A66" s="30" t="s">
        <v>136</v>
      </c>
      <c r="B66" s="13" t="s">
        <v>137</v>
      </c>
      <c r="C66" s="13">
        <v>57.5</v>
      </c>
      <c r="D66" s="13">
        <v>0.17</v>
      </c>
      <c r="E66" s="13">
        <f t="shared" ref="E66:E73" si="29">D66/2</f>
        <v>8.5000000000000006E-2</v>
      </c>
      <c r="F66" s="13">
        <f t="shared" si="0"/>
        <v>2.2698006922187756E-2</v>
      </c>
      <c r="G66" s="13">
        <f t="shared" si="1"/>
        <v>4.5396013844375511E-3</v>
      </c>
      <c r="H66" s="13">
        <f t="shared" si="2"/>
        <v>3.8013155617496429E-2</v>
      </c>
      <c r="I66" s="13">
        <f t="shared" si="3"/>
        <v>3.8013155617496429E-3</v>
      </c>
      <c r="J66" s="13">
        <f t="shared" si="27"/>
        <v>-3.9736701689070157</v>
      </c>
      <c r="K66" s="13">
        <f t="shared" si="28"/>
        <v>1.0625021831840211E-4</v>
      </c>
      <c r="S66" s="23">
        <f t="shared" ref="S66:S121" si="30">K66+R66</f>
        <v>1.0625021831840211E-4</v>
      </c>
      <c r="AA66" s="24"/>
    </row>
    <row r="67" spans="1:27" x14ac:dyDescent="0.25">
      <c r="A67" s="22" t="s">
        <v>138</v>
      </c>
      <c r="B67" s="13" t="s">
        <v>139</v>
      </c>
      <c r="C67" s="13">
        <v>1110</v>
      </c>
      <c r="D67" s="13">
        <v>0.42</v>
      </c>
      <c r="E67" s="13">
        <f t="shared" si="29"/>
        <v>0.21</v>
      </c>
      <c r="F67" s="13">
        <f t="shared" si="0"/>
        <v>0.13854423602331897</v>
      </c>
      <c r="G67" s="13">
        <f t="shared" si="1"/>
        <v>2.7708847204663795E-2</v>
      </c>
      <c r="H67" s="13">
        <f t="shared" si="2"/>
        <v>9.3914855054991156E-2</v>
      </c>
      <c r="I67" s="13">
        <f t="shared" si="3"/>
        <v>9.3914855054991163E-3</v>
      </c>
      <c r="J67" s="13">
        <f t="shared" si="27"/>
        <v>-2.8740387509067604</v>
      </c>
      <c r="K67" s="13">
        <f t="shared" si="28"/>
        <v>1.3364762611109389E-3</v>
      </c>
      <c r="S67" s="23">
        <f t="shared" si="30"/>
        <v>1.3364762611109389E-3</v>
      </c>
      <c r="AA67" s="24"/>
    </row>
    <row r="68" spans="1:27" x14ac:dyDescent="0.25">
      <c r="A68" s="30" t="s">
        <v>140</v>
      </c>
      <c r="B68" s="13" t="s">
        <v>141</v>
      </c>
      <c r="C68" s="13">
        <v>860</v>
      </c>
      <c r="D68" s="13">
        <v>0.28000000000000003</v>
      </c>
      <c r="E68" s="13">
        <f t="shared" si="29"/>
        <v>0.14000000000000001</v>
      </c>
      <c r="F68" s="13">
        <f t="shared" ref="F68:F113" si="31">3.14159265359*(E68)^2</f>
        <v>6.157521601036401E-2</v>
      </c>
      <c r="G68" s="13">
        <f t="shared" ref="G68:G121" si="32">(F68)*2/10</f>
        <v>1.2315043202072802E-2</v>
      </c>
      <c r="H68" s="13">
        <f t="shared" ref="H68:H121" si="33">SQRT(G68/3.14159265359)</f>
        <v>6.2609903369994113E-2</v>
      </c>
      <c r="I68" s="13">
        <f t="shared" ref="I68:I121" si="34">(H68*0.1)</f>
        <v>6.260990336999412E-3</v>
      </c>
      <c r="J68" s="13">
        <f t="shared" si="27"/>
        <v>-3.3593681903512644</v>
      </c>
      <c r="K68" s="13">
        <f t="shared" si="28"/>
        <v>4.3715133565098941E-4</v>
      </c>
      <c r="S68" s="23">
        <f t="shared" si="30"/>
        <v>4.3715133565098941E-4</v>
      </c>
      <c r="AA68" s="24"/>
    </row>
    <row r="69" spans="1:27" x14ac:dyDescent="0.25">
      <c r="A69" s="30" t="s">
        <v>142</v>
      </c>
      <c r="B69" s="13" t="s">
        <v>143</v>
      </c>
      <c r="C69" s="13">
        <v>3860</v>
      </c>
      <c r="D69" s="13">
        <v>0.59</v>
      </c>
      <c r="E69" s="13">
        <f t="shared" si="29"/>
        <v>0.29499999999999998</v>
      </c>
      <c r="F69" s="13">
        <f t="shared" si="31"/>
        <v>0.27339710067866974</v>
      </c>
      <c r="G69" s="13">
        <f t="shared" si="32"/>
        <v>5.4679420135733944E-2</v>
      </c>
      <c r="H69" s="13">
        <f t="shared" si="33"/>
        <v>0.13192801067248758</v>
      </c>
      <c r="I69" s="13">
        <f t="shared" si="34"/>
        <v>1.3192801067248759E-2</v>
      </c>
      <c r="J69" s="13">
        <f t="shared" si="27"/>
        <v>-2.4767828919530324</v>
      </c>
      <c r="K69" s="13">
        <f t="shared" si="28"/>
        <v>3.3359313754892286E-3</v>
      </c>
      <c r="S69" s="23">
        <f t="shared" si="30"/>
        <v>3.3359313754892286E-3</v>
      </c>
      <c r="AA69" s="24"/>
    </row>
    <row r="70" spans="1:27" x14ac:dyDescent="0.25">
      <c r="A70" s="30" t="s">
        <v>144</v>
      </c>
      <c r="B70" s="13" t="s">
        <v>145</v>
      </c>
      <c r="D70" s="13">
        <v>0.39</v>
      </c>
      <c r="E70" s="13">
        <f t="shared" si="29"/>
        <v>0.19500000000000001</v>
      </c>
      <c r="F70" s="13">
        <f t="shared" si="31"/>
        <v>0.11945906065275977</v>
      </c>
      <c r="G70" s="13">
        <f t="shared" si="32"/>
        <v>2.3891812130551953E-2</v>
      </c>
      <c r="H70" s="13">
        <f t="shared" si="33"/>
        <v>8.7206651122491805E-2</v>
      </c>
      <c r="I70" s="13">
        <f t="shared" si="34"/>
        <v>8.7206651122491811E-3</v>
      </c>
      <c r="J70" s="13">
        <f t="shared" si="27"/>
        <v>-2.9618174288762669</v>
      </c>
      <c r="K70" s="13">
        <f t="shared" si="28"/>
        <v>1.0918992586479862E-3</v>
      </c>
      <c r="S70" s="23">
        <f t="shared" si="30"/>
        <v>1.0918992586479862E-3</v>
      </c>
      <c r="AA70" s="24"/>
    </row>
    <row r="71" spans="1:27" x14ac:dyDescent="0.25">
      <c r="A71" s="30" t="s">
        <v>146</v>
      </c>
      <c r="B71" s="13" t="s">
        <v>147</v>
      </c>
      <c r="C71" s="13">
        <v>419.9</v>
      </c>
      <c r="D71" s="13">
        <v>0.31</v>
      </c>
      <c r="E71" s="13">
        <f t="shared" si="29"/>
        <v>0.155</v>
      </c>
      <c r="F71" s="13">
        <f t="shared" si="31"/>
        <v>7.5476763502499752E-2</v>
      </c>
      <c r="G71" s="13">
        <f t="shared" si="32"/>
        <v>1.5095352700499951E-2</v>
      </c>
      <c r="H71" s="13">
        <f t="shared" si="33"/>
        <v>6.9318107302493479E-2</v>
      </c>
      <c r="I71" s="13">
        <f t="shared" si="34"/>
        <v>6.931810730249348E-3</v>
      </c>
      <c r="J71" s="13">
        <f t="shared" si="27"/>
        <v>-3.2363714086684929</v>
      </c>
      <c r="K71" s="13">
        <f t="shared" si="28"/>
        <v>5.8026796007006E-4</v>
      </c>
      <c r="S71" s="23">
        <f t="shared" si="30"/>
        <v>5.8026796007006E-4</v>
      </c>
      <c r="AA71" s="24"/>
    </row>
    <row r="72" spans="1:27" x14ac:dyDescent="0.25">
      <c r="A72" s="30" t="s">
        <v>148</v>
      </c>
      <c r="B72" s="13" t="s">
        <v>149</v>
      </c>
      <c r="C72" s="13">
        <v>298</v>
      </c>
      <c r="D72" s="13">
        <v>0.34</v>
      </c>
      <c r="E72" s="13">
        <f t="shared" si="29"/>
        <v>0.17</v>
      </c>
      <c r="F72" s="13">
        <f t="shared" si="31"/>
        <v>9.0792027688751026E-2</v>
      </c>
      <c r="G72" s="13">
        <f t="shared" si="32"/>
        <v>1.8158405537750204E-2</v>
      </c>
      <c r="H72" s="13">
        <f t="shared" si="33"/>
        <v>7.6026311234992858E-2</v>
      </c>
      <c r="I72" s="13">
        <f t="shared" si="34"/>
        <v>7.6026311234992858E-3</v>
      </c>
      <c r="J72" s="13">
        <f t="shared" si="27"/>
        <v>-3.1254216966461383</v>
      </c>
      <c r="K72" s="13">
        <f t="shared" si="28"/>
        <v>7.4916642114160423E-4</v>
      </c>
      <c r="S72" s="23">
        <f t="shared" si="30"/>
        <v>7.4916642114160423E-4</v>
      </c>
      <c r="AA72" s="24"/>
    </row>
    <row r="73" spans="1:27" x14ac:dyDescent="0.25">
      <c r="A73" s="30" t="s">
        <v>150</v>
      </c>
      <c r="B73" s="13" t="s">
        <v>151</v>
      </c>
      <c r="C73" s="13">
        <v>1550</v>
      </c>
      <c r="D73" s="13">
        <v>0.5</v>
      </c>
      <c r="E73" s="13">
        <f t="shared" si="29"/>
        <v>0.25</v>
      </c>
      <c r="F73" s="13">
        <f t="shared" si="31"/>
        <v>0.196349540849375</v>
      </c>
      <c r="G73" s="13">
        <f t="shared" si="32"/>
        <v>3.9269908169875002E-2</v>
      </c>
      <c r="H73" s="13">
        <f t="shared" si="33"/>
        <v>0.11180339887498948</v>
      </c>
      <c r="I73" s="13">
        <f t="shared" si="34"/>
        <v>1.1180339887498949E-2</v>
      </c>
      <c r="J73" s="13">
        <f t="shared" si="27"/>
        <v>-2.6691565099051449</v>
      </c>
      <c r="K73" s="13">
        <f t="shared" si="28"/>
        <v>2.1421184909652734E-3</v>
      </c>
      <c r="S73" s="23">
        <f t="shared" si="30"/>
        <v>2.1421184909652734E-3</v>
      </c>
      <c r="AA73" s="24"/>
    </row>
    <row r="74" spans="1:27" x14ac:dyDescent="0.25">
      <c r="A74" s="30" t="s">
        <v>152</v>
      </c>
      <c r="B74" s="13" t="s">
        <v>153</v>
      </c>
      <c r="C74" s="13">
        <v>1050</v>
      </c>
      <c r="D74" s="13" t="s">
        <v>154</v>
      </c>
      <c r="E74" s="13">
        <v>0.19</v>
      </c>
      <c r="F74" s="13">
        <f t="shared" si="31"/>
        <v>0.113411494794599</v>
      </c>
      <c r="G74" s="13">
        <f t="shared" si="32"/>
        <v>2.2682298958919801E-2</v>
      </c>
      <c r="H74" s="13">
        <f t="shared" si="33"/>
        <v>8.4970583144992007E-2</v>
      </c>
      <c r="I74" s="13">
        <f t="shared" si="34"/>
        <v>8.497058314499201E-3</v>
      </c>
      <c r="J74" s="13">
        <f t="shared" si="27"/>
        <v>-2.9926826835167111</v>
      </c>
      <c r="K74" s="13">
        <f t="shared" si="28"/>
        <v>1.0169914844797765E-3</v>
      </c>
      <c r="L74" s="13">
        <v>0.22</v>
      </c>
      <c r="M74" s="13">
        <f t="shared" si="20"/>
        <v>0.15205308443375601</v>
      </c>
      <c r="N74" s="13">
        <f t="shared" si="21"/>
        <v>3.0410616886751202E-2</v>
      </c>
      <c r="O74" s="13">
        <f t="shared" si="22"/>
        <v>9.8386991009990751E-2</v>
      </c>
      <c r="P74" s="13">
        <f t="shared" si="23"/>
        <v>9.8386991009990765E-3</v>
      </c>
      <c r="Q74" s="13">
        <f t="shared" si="24"/>
        <v>-2.8191488661236841</v>
      </c>
      <c r="R74" s="13">
        <f t="shared" si="25"/>
        <v>1.5165304467245737E-3</v>
      </c>
      <c r="S74" s="23">
        <f t="shared" si="30"/>
        <v>2.5335219312043501E-3</v>
      </c>
      <c r="AA74" s="24"/>
    </row>
    <row r="75" spans="1:27" x14ac:dyDescent="0.25">
      <c r="A75" s="36" t="s">
        <v>155</v>
      </c>
      <c r="B75" s="33" t="s">
        <v>156</v>
      </c>
      <c r="C75" s="13">
        <v>2950</v>
      </c>
      <c r="D75" s="13">
        <v>0.56999999999999995</v>
      </c>
      <c r="E75" s="13">
        <f t="shared" ref="E75:E95" si="35">D75/2</f>
        <v>0.28499999999999998</v>
      </c>
      <c r="F75" s="13">
        <f t="shared" si="31"/>
        <v>0.25517586328784775</v>
      </c>
      <c r="G75" s="13">
        <f t="shared" si="32"/>
        <v>5.1035172657569551E-2</v>
      </c>
      <c r="H75" s="13">
        <f t="shared" si="33"/>
        <v>0.12745587471748801</v>
      </c>
      <c r="I75" s="13">
        <f t="shared" si="34"/>
        <v>1.2745587471748802E-2</v>
      </c>
      <c r="J75" s="13">
        <f t="shared" si="27"/>
        <v>-2.516694925181076</v>
      </c>
      <c r="K75" s="13">
        <f t="shared" si="28"/>
        <v>3.0430218784318844E-3</v>
      </c>
      <c r="S75" s="23">
        <f t="shared" si="30"/>
        <v>3.0430218784318844E-3</v>
      </c>
      <c r="AA75" s="24"/>
    </row>
    <row r="76" spans="1:27" x14ac:dyDescent="0.25">
      <c r="A76" s="36" t="s">
        <v>157</v>
      </c>
      <c r="B76" s="33" t="s">
        <v>158</v>
      </c>
      <c r="D76" s="13">
        <v>0.55000000000000004</v>
      </c>
      <c r="E76" s="13">
        <f t="shared" si="35"/>
        <v>0.27500000000000002</v>
      </c>
      <c r="F76" s="13">
        <f t="shared" si="31"/>
        <v>0.2375829444277438</v>
      </c>
      <c r="G76" s="13">
        <f t="shared" si="32"/>
        <v>4.7516588885548758E-2</v>
      </c>
      <c r="H76" s="13">
        <f t="shared" si="33"/>
        <v>0.12298373876248844</v>
      </c>
      <c r="I76" s="13">
        <f t="shared" si="34"/>
        <v>1.2298373876248846E-2</v>
      </c>
      <c r="J76" s="13">
        <f t="shared" si="27"/>
        <v>-2.5581272771346999</v>
      </c>
      <c r="K76" s="13">
        <f t="shared" si="28"/>
        <v>2.7661308665049063E-3</v>
      </c>
      <c r="S76" s="23">
        <f>K76+R76</f>
        <v>2.7661308665049063E-3</v>
      </c>
      <c r="AA76" s="24"/>
    </row>
    <row r="77" spans="1:27" x14ac:dyDescent="0.25">
      <c r="A77" s="30" t="s">
        <v>159</v>
      </c>
      <c r="B77" s="13" t="s">
        <v>160</v>
      </c>
      <c r="C77" s="13">
        <v>382</v>
      </c>
      <c r="D77" s="13">
        <v>0.2</v>
      </c>
      <c r="E77" s="13">
        <f t="shared" si="35"/>
        <v>0.1</v>
      </c>
      <c r="F77" s="13">
        <f t="shared" si="31"/>
        <v>3.1415926535900009E-2</v>
      </c>
      <c r="G77" s="13">
        <f t="shared" si="32"/>
        <v>6.2831853071800021E-3</v>
      </c>
      <c r="H77" s="13">
        <f t="shared" si="33"/>
        <v>4.4721359549995801E-2</v>
      </c>
      <c r="I77" s="13">
        <f t="shared" si="34"/>
        <v>4.4721359549995806E-3</v>
      </c>
      <c r="J77" s="13">
        <f t="shared" si="27"/>
        <v>-3.771532309223379</v>
      </c>
      <c r="K77" s="13">
        <f t="shared" si="28"/>
        <v>1.6922623443427714E-4</v>
      </c>
      <c r="S77" s="23">
        <f t="shared" si="30"/>
        <v>1.6922623443427714E-4</v>
      </c>
      <c r="AA77" s="24"/>
    </row>
    <row r="78" spans="1:27" x14ac:dyDescent="0.25">
      <c r="A78" s="30" t="s">
        <v>161</v>
      </c>
      <c r="B78" s="13" t="s">
        <v>162</v>
      </c>
      <c r="C78" s="13">
        <v>132</v>
      </c>
      <c r="D78" s="13">
        <v>0.15</v>
      </c>
      <c r="E78" s="13">
        <f t="shared" si="35"/>
        <v>7.4999999999999997E-2</v>
      </c>
      <c r="F78" s="13">
        <f t="shared" si="31"/>
        <v>1.7671458676443749E-2</v>
      </c>
      <c r="G78" s="13">
        <f t="shared" si="32"/>
        <v>3.5342917352887498E-3</v>
      </c>
      <c r="H78" s="13">
        <f t="shared" si="33"/>
        <v>3.3541019662496847E-2</v>
      </c>
      <c r="I78" s="13">
        <f t="shared" si="34"/>
        <v>3.3541019662496848E-3</v>
      </c>
      <c r="J78" s="13">
        <f t="shared" si="27"/>
        <v>-4.1307039088666961</v>
      </c>
      <c r="K78" s="13">
        <f t="shared" si="28"/>
        <v>7.4010969139631005E-5</v>
      </c>
      <c r="S78" s="23">
        <f t="shared" si="30"/>
        <v>7.4010969139631005E-5</v>
      </c>
      <c r="AA78" s="24"/>
    </row>
    <row r="79" spans="1:27" x14ac:dyDescent="0.25">
      <c r="A79" s="30" t="s">
        <v>163</v>
      </c>
      <c r="B79" s="13" t="s">
        <v>164</v>
      </c>
      <c r="C79" s="13">
        <v>1850</v>
      </c>
      <c r="D79" s="13">
        <v>0.45</v>
      </c>
      <c r="E79" s="13">
        <f t="shared" si="35"/>
        <v>0.22500000000000001</v>
      </c>
      <c r="F79" s="13">
        <f t="shared" si="31"/>
        <v>0.15904312808799376</v>
      </c>
      <c r="G79" s="13">
        <f t="shared" si="32"/>
        <v>3.180862561759875E-2</v>
      </c>
      <c r="H79" s="13">
        <f t="shared" si="33"/>
        <v>0.10062305898749054</v>
      </c>
      <c r="I79" s="13">
        <f t="shared" si="34"/>
        <v>1.0062305898749055E-2</v>
      </c>
      <c r="J79" s="13">
        <f t="shared" si="27"/>
        <v>-2.7926911871119655</v>
      </c>
      <c r="K79" s="13">
        <f t="shared" si="28"/>
        <v>1.6117913209542447E-3</v>
      </c>
      <c r="S79" s="23">
        <f t="shared" si="30"/>
        <v>1.6117913209542447E-3</v>
      </c>
      <c r="AA79" s="24"/>
    </row>
    <row r="80" spans="1:27" x14ac:dyDescent="0.25">
      <c r="A80" s="30" t="s">
        <v>165</v>
      </c>
      <c r="B80" s="41" t="s">
        <v>166</v>
      </c>
      <c r="C80" s="13">
        <v>2500</v>
      </c>
      <c r="D80" s="13">
        <v>0.44</v>
      </c>
      <c r="E80" s="13">
        <f t="shared" si="35"/>
        <v>0.22</v>
      </c>
      <c r="F80" s="13">
        <f t="shared" si="31"/>
        <v>0.15205308443375601</v>
      </c>
      <c r="G80" s="13">
        <f t="shared" si="32"/>
        <v>3.0410616886751202E-2</v>
      </c>
      <c r="H80" s="13">
        <f t="shared" si="33"/>
        <v>9.8386991009990751E-2</v>
      </c>
      <c r="I80" s="13">
        <f t="shared" si="34"/>
        <v>9.8386991009990765E-3</v>
      </c>
      <c r="J80" s="13">
        <f t="shared" ref="J80:J95" si="36">-0.2*LOG(I80)^2+1.91*LOG(I80)+1.82</f>
        <v>-2.8191488661236841</v>
      </c>
      <c r="K80" s="13">
        <f t="shared" ref="K80:K95" si="37">10^(J80)</f>
        <v>1.5165304467245737E-3</v>
      </c>
      <c r="S80" s="23">
        <f t="shared" si="30"/>
        <v>1.5165304467245737E-3</v>
      </c>
      <c r="AA80" s="24"/>
    </row>
    <row r="81" spans="1:27" x14ac:dyDescent="0.25">
      <c r="A81" s="30" t="s">
        <v>167</v>
      </c>
      <c r="B81" s="13" t="s">
        <v>168</v>
      </c>
      <c r="C81" s="13">
        <v>910</v>
      </c>
      <c r="D81" s="13">
        <v>0.41</v>
      </c>
      <c r="E81" s="13">
        <f t="shared" si="35"/>
        <v>0.20499999999999999</v>
      </c>
      <c r="F81" s="13">
        <f t="shared" si="31"/>
        <v>0.13202543126711974</v>
      </c>
      <c r="G81" s="13">
        <f t="shared" si="32"/>
        <v>2.640508625342395E-2</v>
      </c>
      <c r="H81" s="13">
        <f t="shared" si="33"/>
        <v>9.1678787077491372E-2</v>
      </c>
      <c r="I81" s="13">
        <f t="shared" si="34"/>
        <v>9.1678787077491379E-3</v>
      </c>
      <c r="J81" s="13">
        <f t="shared" si="36"/>
        <v>-2.902536120216137</v>
      </c>
      <c r="K81" s="13">
        <f t="shared" si="37"/>
        <v>1.2515951736933885E-3</v>
      </c>
      <c r="S81" s="23">
        <f t="shared" si="30"/>
        <v>1.2515951736933885E-3</v>
      </c>
      <c r="AA81" s="24"/>
    </row>
    <row r="82" spans="1:27" x14ac:dyDescent="0.25">
      <c r="A82" s="30" t="s">
        <v>169</v>
      </c>
      <c r="B82" s="13" t="s">
        <v>170</v>
      </c>
      <c r="C82" s="13">
        <v>272.10000000000002</v>
      </c>
      <c r="D82" s="13">
        <v>0.43</v>
      </c>
      <c r="E82" s="13">
        <f t="shared" si="35"/>
        <v>0.215</v>
      </c>
      <c r="F82" s="13">
        <f t="shared" si="31"/>
        <v>0.14522012041219773</v>
      </c>
      <c r="G82" s="13">
        <f t="shared" si="32"/>
        <v>2.9044024082439546E-2</v>
      </c>
      <c r="H82" s="13">
        <f t="shared" si="33"/>
        <v>9.615092303249094E-2</v>
      </c>
      <c r="I82" s="13">
        <f t="shared" si="34"/>
        <v>9.6150923032490947E-3</v>
      </c>
      <c r="J82" s="13">
        <f t="shared" si="36"/>
        <v>-2.846254246424567</v>
      </c>
      <c r="K82" s="13">
        <f t="shared" si="37"/>
        <v>1.4247732529089707E-3</v>
      </c>
      <c r="S82" s="23">
        <f t="shared" si="30"/>
        <v>1.4247732529089707E-3</v>
      </c>
      <c r="AA82" s="24"/>
    </row>
    <row r="83" spans="1:27" x14ac:dyDescent="0.25">
      <c r="A83" s="36" t="s">
        <v>171</v>
      </c>
      <c r="B83" s="33" t="s">
        <v>172</v>
      </c>
      <c r="C83" s="13">
        <v>995</v>
      </c>
      <c r="D83" s="13">
        <v>0.39</v>
      </c>
      <c r="E83" s="13">
        <f t="shared" si="35"/>
        <v>0.19500000000000001</v>
      </c>
      <c r="F83" s="13">
        <f t="shared" si="31"/>
        <v>0.11945906065275977</v>
      </c>
      <c r="G83" s="13">
        <f t="shared" si="32"/>
        <v>2.3891812130551953E-2</v>
      </c>
      <c r="H83" s="13">
        <f t="shared" si="33"/>
        <v>8.7206651122491805E-2</v>
      </c>
      <c r="I83" s="13">
        <f t="shared" si="34"/>
        <v>8.7206651122491811E-3</v>
      </c>
      <c r="J83" s="13">
        <f t="shared" si="36"/>
        <v>-2.9618174288762669</v>
      </c>
      <c r="K83" s="13">
        <f t="shared" si="37"/>
        <v>1.0918992586479862E-3</v>
      </c>
      <c r="S83" s="23">
        <f t="shared" si="30"/>
        <v>1.0918992586479862E-3</v>
      </c>
      <c r="AA83" s="24"/>
    </row>
    <row r="84" spans="1:27" x14ac:dyDescent="0.25">
      <c r="A84" s="36" t="s">
        <v>173</v>
      </c>
      <c r="B84" s="33" t="s">
        <v>174</v>
      </c>
      <c r="C84" s="13">
        <v>715</v>
      </c>
      <c r="D84" s="13">
        <v>0.2</v>
      </c>
      <c r="E84" s="13">
        <f t="shared" si="35"/>
        <v>0.1</v>
      </c>
      <c r="F84" s="13">
        <f t="shared" si="31"/>
        <v>3.1415926535900009E-2</v>
      </c>
      <c r="G84" s="13">
        <f t="shared" si="32"/>
        <v>6.2831853071800021E-3</v>
      </c>
      <c r="H84" s="13">
        <f t="shared" si="33"/>
        <v>4.4721359549995801E-2</v>
      </c>
      <c r="I84" s="13">
        <f t="shared" si="34"/>
        <v>4.4721359549995806E-3</v>
      </c>
      <c r="J84" s="13">
        <f t="shared" si="36"/>
        <v>-3.771532309223379</v>
      </c>
      <c r="K84" s="13">
        <f t="shared" si="37"/>
        <v>1.6922623443427714E-4</v>
      </c>
      <c r="S84" s="23">
        <f t="shared" si="30"/>
        <v>1.6922623443427714E-4</v>
      </c>
      <c r="AA84" s="24"/>
    </row>
    <row r="85" spans="1:27" x14ac:dyDescent="0.25">
      <c r="A85" s="36" t="s">
        <v>175</v>
      </c>
      <c r="B85" s="33" t="s">
        <v>176</v>
      </c>
      <c r="C85" s="13">
        <v>770</v>
      </c>
      <c r="D85" s="13">
        <v>0.34</v>
      </c>
      <c r="E85" s="13">
        <f t="shared" si="35"/>
        <v>0.17</v>
      </c>
      <c r="F85" s="13">
        <f t="shared" si="31"/>
        <v>9.0792027688751026E-2</v>
      </c>
      <c r="G85" s="13">
        <f t="shared" si="32"/>
        <v>1.8158405537750204E-2</v>
      </c>
      <c r="H85" s="13">
        <f t="shared" si="33"/>
        <v>7.6026311234992858E-2</v>
      </c>
      <c r="I85" s="13">
        <f t="shared" si="34"/>
        <v>7.6026311234992858E-3</v>
      </c>
      <c r="J85" s="13">
        <f t="shared" si="36"/>
        <v>-3.1254216966461383</v>
      </c>
      <c r="K85" s="13">
        <f t="shared" si="37"/>
        <v>7.4916642114160423E-4</v>
      </c>
      <c r="S85" s="23">
        <f t="shared" si="30"/>
        <v>7.4916642114160423E-4</v>
      </c>
      <c r="AA85" s="24"/>
    </row>
    <row r="86" spans="1:27" x14ac:dyDescent="0.25">
      <c r="A86" s="36" t="s">
        <v>177</v>
      </c>
      <c r="B86" s="33" t="s">
        <v>178</v>
      </c>
      <c r="C86" s="13">
        <v>389</v>
      </c>
      <c r="D86" s="13">
        <v>0.36</v>
      </c>
      <c r="E86" s="13">
        <f t="shared" si="35"/>
        <v>0.18</v>
      </c>
      <c r="F86" s="13">
        <f t="shared" si="31"/>
        <v>0.10178760197631599</v>
      </c>
      <c r="G86" s="13">
        <f t="shared" si="32"/>
        <v>2.0357520395263198E-2</v>
      </c>
      <c r="H86" s="13">
        <f t="shared" si="33"/>
        <v>8.0498447189992425E-2</v>
      </c>
      <c r="I86" s="13">
        <f t="shared" si="34"/>
        <v>8.0498447189992425E-3</v>
      </c>
      <c r="J86" s="13">
        <f t="shared" si="36"/>
        <v>-3.0570910659659791</v>
      </c>
      <c r="K86" s="13">
        <f t="shared" si="37"/>
        <v>8.768169446323477E-4</v>
      </c>
      <c r="S86" s="23">
        <f t="shared" si="30"/>
        <v>8.768169446323477E-4</v>
      </c>
      <c r="AA86" s="24"/>
    </row>
    <row r="87" spans="1:27" x14ac:dyDescent="0.25">
      <c r="A87" s="22" t="s">
        <v>179</v>
      </c>
      <c r="B87" s="13" t="s">
        <v>180</v>
      </c>
      <c r="C87" s="13">
        <v>3178</v>
      </c>
      <c r="D87" s="13">
        <v>0.25</v>
      </c>
      <c r="E87" s="13">
        <f t="shared" si="35"/>
        <v>0.125</v>
      </c>
      <c r="F87" s="13">
        <f t="shared" si="31"/>
        <v>4.9087385212343751E-2</v>
      </c>
      <c r="G87" s="13">
        <f t="shared" si="32"/>
        <v>9.8174770424687505E-3</v>
      </c>
      <c r="H87" s="13">
        <f t="shared" si="33"/>
        <v>5.5901699437494741E-2</v>
      </c>
      <c r="I87" s="13">
        <f t="shared" si="34"/>
        <v>5.5901699437494743E-3</v>
      </c>
      <c r="J87" s="13">
        <f t="shared" si="36"/>
        <v>-3.4972370456533026</v>
      </c>
      <c r="K87" s="13">
        <f t="shared" si="37"/>
        <v>3.1824600043064521E-4</v>
      </c>
      <c r="S87" s="23">
        <f t="shared" si="30"/>
        <v>3.1824600043064521E-4</v>
      </c>
      <c r="AA87" s="24"/>
    </row>
    <row r="88" spans="1:27" x14ac:dyDescent="0.25">
      <c r="A88" s="22" t="s">
        <v>181</v>
      </c>
      <c r="B88" s="42" t="s">
        <v>182</v>
      </c>
      <c r="C88" s="13">
        <v>241.3</v>
      </c>
      <c r="D88" s="13">
        <v>0.21</v>
      </c>
      <c r="E88" s="13">
        <f t="shared" si="35"/>
        <v>0.105</v>
      </c>
      <c r="F88" s="13">
        <f t="shared" si="31"/>
        <v>3.4636059005829743E-2</v>
      </c>
      <c r="G88" s="13">
        <f t="shared" si="32"/>
        <v>6.9272118011659486E-3</v>
      </c>
      <c r="H88" s="13">
        <f t="shared" si="33"/>
        <v>4.6957427527495578E-2</v>
      </c>
      <c r="I88" s="13">
        <f t="shared" si="34"/>
        <v>4.6957427527495581E-3</v>
      </c>
      <c r="J88" s="13">
        <f t="shared" si="36"/>
        <v>-3.7112369691303053</v>
      </c>
      <c r="K88" s="13">
        <f t="shared" si="37"/>
        <v>1.9442989017988033E-4</v>
      </c>
      <c r="S88" s="23">
        <f t="shared" si="30"/>
        <v>1.9442989017988033E-4</v>
      </c>
      <c r="AA88" s="24"/>
    </row>
    <row r="89" spans="1:27" x14ac:dyDescent="0.25">
      <c r="A89" s="30" t="s">
        <v>183</v>
      </c>
      <c r="B89" s="13" t="s">
        <v>184</v>
      </c>
      <c r="C89" s="13">
        <v>483.3</v>
      </c>
      <c r="D89" s="13">
        <v>0.28000000000000003</v>
      </c>
      <c r="E89" s="13">
        <f t="shared" si="35"/>
        <v>0.14000000000000001</v>
      </c>
      <c r="F89" s="13">
        <f t="shared" si="31"/>
        <v>6.157521601036401E-2</v>
      </c>
      <c r="G89" s="13">
        <f t="shared" si="32"/>
        <v>1.2315043202072802E-2</v>
      </c>
      <c r="H89" s="13">
        <f t="shared" si="33"/>
        <v>6.2609903369994113E-2</v>
      </c>
      <c r="I89" s="13">
        <f t="shared" si="34"/>
        <v>6.260990336999412E-3</v>
      </c>
      <c r="J89" s="13">
        <f t="shared" si="36"/>
        <v>-3.3593681903512644</v>
      </c>
      <c r="K89" s="13">
        <f t="shared" si="37"/>
        <v>4.3715133565098941E-4</v>
      </c>
      <c r="S89" s="23">
        <f t="shared" si="30"/>
        <v>4.3715133565098941E-4</v>
      </c>
      <c r="AA89" s="24"/>
    </row>
    <row r="90" spans="1:27" x14ac:dyDescent="0.25">
      <c r="A90" s="30" t="s">
        <v>185</v>
      </c>
      <c r="B90" s="13" t="s">
        <v>186</v>
      </c>
      <c r="C90" s="13">
        <v>550</v>
      </c>
      <c r="D90" s="13">
        <v>0.27</v>
      </c>
      <c r="E90" s="13">
        <f t="shared" si="35"/>
        <v>0.13500000000000001</v>
      </c>
      <c r="F90" s="13">
        <f t="shared" si="31"/>
        <v>5.7255526111677758E-2</v>
      </c>
      <c r="G90" s="13">
        <f t="shared" si="32"/>
        <v>1.1451105222335552E-2</v>
      </c>
      <c r="H90" s="13">
        <f t="shared" si="33"/>
        <v>6.0373835392494329E-2</v>
      </c>
      <c r="I90" s="13">
        <f t="shared" si="34"/>
        <v>6.0373835392494336E-3</v>
      </c>
      <c r="J90" s="13">
        <f t="shared" si="36"/>
        <v>-3.4035052958979186</v>
      </c>
      <c r="K90" s="13">
        <f t="shared" si="37"/>
        <v>3.9490688372413471E-4</v>
      </c>
      <c r="S90" s="23">
        <f t="shared" si="30"/>
        <v>3.9490688372413471E-4</v>
      </c>
      <c r="AA90" s="24"/>
    </row>
    <row r="91" spans="1:27" x14ac:dyDescent="0.25">
      <c r="A91" s="30" t="s">
        <v>187</v>
      </c>
      <c r="B91" s="13" t="s">
        <v>188</v>
      </c>
      <c r="C91" s="13">
        <v>700</v>
      </c>
      <c r="D91" s="13">
        <v>0.35</v>
      </c>
      <c r="E91" s="13">
        <f t="shared" si="35"/>
        <v>0.17499999999999999</v>
      </c>
      <c r="F91" s="13">
        <f t="shared" si="31"/>
        <v>9.621127501619374E-2</v>
      </c>
      <c r="G91" s="13">
        <f t="shared" si="32"/>
        <v>1.9242255003238749E-2</v>
      </c>
      <c r="H91" s="13">
        <f t="shared" si="33"/>
        <v>7.8262379212492642E-2</v>
      </c>
      <c r="I91" s="13">
        <f t="shared" si="34"/>
        <v>7.8262379212492642E-3</v>
      </c>
      <c r="J91" s="13">
        <f t="shared" si="36"/>
        <v>-3.090737434716555</v>
      </c>
      <c r="K91" s="13">
        <f t="shared" si="37"/>
        <v>8.1145149604365638E-4</v>
      </c>
      <c r="S91" s="23">
        <f t="shared" si="30"/>
        <v>8.1145149604365638E-4</v>
      </c>
      <c r="AA91" s="24"/>
    </row>
    <row r="92" spans="1:27" x14ac:dyDescent="0.25">
      <c r="A92" s="30" t="s">
        <v>189</v>
      </c>
      <c r="B92" s="13" t="s">
        <v>190</v>
      </c>
      <c r="C92" s="13">
        <v>1500</v>
      </c>
      <c r="D92" s="13">
        <v>0.43</v>
      </c>
      <c r="E92" s="13">
        <f t="shared" si="35"/>
        <v>0.215</v>
      </c>
      <c r="F92" s="13">
        <f t="shared" si="31"/>
        <v>0.14522012041219773</v>
      </c>
      <c r="G92" s="13">
        <f t="shared" si="32"/>
        <v>2.9044024082439546E-2</v>
      </c>
      <c r="H92" s="13">
        <f t="shared" si="33"/>
        <v>9.615092303249094E-2</v>
      </c>
      <c r="I92" s="13">
        <f t="shared" si="34"/>
        <v>9.6150923032490947E-3</v>
      </c>
      <c r="J92" s="13">
        <f t="shared" si="36"/>
        <v>-2.846254246424567</v>
      </c>
      <c r="K92" s="13">
        <f t="shared" si="37"/>
        <v>1.4247732529089707E-3</v>
      </c>
      <c r="S92" s="23">
        <f t="shared" si="30"/>
        <v>1.4247732529089707E-3</v>
      </c>
      <c r="AA92" s="24"/>
    </row>
    <row r="93" spans="1:27" x14ac:dyDescent="0.25">
      <c r="A93" s="36" t="s">
        <v>191</v>
      </c>
      <c r="B93" s="33" t="s">
        <v>192</v>
      </c>
      <c r="C93" s="13">
        <v>415.6</v>
      </c>
      <c r="D93" s="13">
        <v>0.27</v>
      </c>
      <c r="E93" s="13">
        <f t="shared" si="35"/>
        <v>0.13500000000000001</v>
      </c>
      <c r="F93" s="13">
        <f t="shared" si="31"/>
        <v>5.7255526111677758E-2</v>
      </c>
      <c r="G93" s="13">
        <f t="shared" si="32"/>
        <v>1.1451105222335552E-2</v>
      </c>
      <c r="H93" s="13">
        <f t="shared" si="33"/>
        <v>6.0373835392494329E-2</v>
      </c>
      <c r="I93" s="13">
        <f t="shared" si="34"/>
        <v>6.0373835392494336E-3</v>
      </c>
      <c r="J93" s="13">
        <f t="shared" si="36"/>
        <v>-3.4035052958979186</v>
      </c>
      <c r="K93" s="13">
        <f t="shared" si="37"/>
        <v>3.9490688372413471E-4</v>
      </c>
      <c r="S93" s="23">
        <f t="shared" si="30"/>
        <v>3.9490688372413471E-4</v>
      </c>
      <c r="AA93" s="24"/>
    </row>
    <row r="94" spans="1:27" x14ac:dyDescent="0.25">
      <c r="A94" s="30" t="s">
        <v>193</v>
      </c>
      <c r="B94" s="13" t="s">
        <v>194</v>
      </c>
      <c r="C94" s="13">
        <v>39</v>
      </c>
      <c r="D94" s="13">
        <v>0.09</v>
      </c>
      <c r="E94" s="13">
        <f t="shared" si="35"/>
        <v>4.4999999999999998E-2</v>
      </c>
      <c r="F94" s="13">
        <f t="shared" si="31"/>
        <v>6.3617251235197495E-3</v>
      </c>
      <c r="G94" s="13">
        <f t="shared" si="32"/>
        <v>1.2723450247039499E-3</v>
      </c>
      <c r="H94" s="13">
        <f t="shared" si="33"/>
        <v>2.0124611797498106E-2</v>
      </c>
      <c r="I94" s="13">
        <f t="shared" si="34"/>
        <v>2.0124611797498106E-3</v>
      </c>
      <c r="J94" s="13">
        <f t="shared" si="36"/>
        <v>-4.7838575191626269</v>
      </c>
      <c r="K94" s="13">
        <f t="shared" si="37"/>
        <v>1.6449112877420936E-5</v>
      </c>
      <c r="S94" s="23">
        <f t="shared" si="30"/>
        <v>1.6449112877420936E-5</v>
      </c>
      <c r="AA94" s="24"/>
    </row>
    <row r="95" spans="1:27" x14ac:dyDescent="0.25">
      <c r="A95" s="30" t="s">
        <v>195</v>
      </c>
      <c r="B95" s="13" t="s">
        <v>196</v>
      </c>
      <c r="C95" s="13">
        <v>210</v>
      </c>
      <c r="D95" s="13">
        <v>0.22</v>
      </c>
      <c r="E95" s="13">
        <f t="shared" si="35"/>
        <v>0.11</v>
      </c>
      <c r="F95" s="13">
        <f t="shared" si="31"/>
        <v>3.8013271108439002E-2</v>
      </c>
      <c r="G95" s="13">
        <f t="shared" si="32"/>
        <v>7.6026542216878004E-3</v>
      </c>
      <c r="H95" s="13">
        <f t="shared" si="33"/>
        <v>4.9193495504995376E-2</v>
      </c>
      <c r="I95" s="13">
        <f t="shared" si="34"/>
        <v>4.9193495504995383E-3</v>
      </c>
      <c r="J95" s="13">
        <f t="shared" si="36"/>
        <v>-3.6539143542566066</v>
      </c>
      <c r="K95" s="13">
        <f t="shared" si="37"/>
        <v>2.2186339059371122E-4</v>
      </c>
      <c r="S95" s="23">
        <f t="shared" si="30"/>
        <v>2.2186339059371122E-4</v>
      </c>
      <c r="AA95" s="24"/>
    </row>
    <row r="96" spans="1:27" x14ac:dyDescent="0.25">
      <c r="B96" s="20" t="s">
        <v>197</v>
      </c>
      <c r="F96" s="13">
        <f t="shared" si="31"/>
        <v>0</v>
      </c>
      <c r="G96" s="13">
        <f t="shared" si="32"/>
        <v>0</v>
      </c>
      <c r="H96" s="13">
        <f t="shared" si="33"/>
        <v>0</v>
      </c>
      <c r="I96" s="13">
        <f t="shared" si="34"/>
        <v>0</v>
      </c>
      <c r="S96" s="23">
        <f t="shared" si="30"/>
        <v>0</v>
      </c>
      <c r="AA96" s="24"/>
    </row>
    <row r="97" spans="1:27" x14ac:dyDescent="0.25">
      <c r="A97" s="22" t="s">
        <v>198</v>
      </c>
      <c r="B97" s="13" t="s">
        <v>199</v>
      </c>
      <c r="D97" s="13">
        <v>0.19</v>
      </c>
      <c r="E97" s="13">
        <f t="shared" ref="E97:E121" si="38">D97/2</f>
        <v>9.5000000000000001E-2</v>
      </c>
      <c r="F97" s="13">
        <f t="shared" si="31"/>
        <v>2.835287369864975E-2</v>
      </c>
      <c r="G97" s="13">
        <f t="shared" si="32"/>
        <v>5.6705747397299503E-3</v>
      </c>
      <c r="H97" s="13">
        <f t="shared" si="33"/>
        <v>4.2485291572496003E-2</v>
      </c>
      <c r="I97" s="13">
        <f t="shared" si="34"/>
        <v>4.2485291572496005E-3</v>
      </c>
      <c r="J97" s="13">
        <f t="shared" ref="J97:J121" si="39">-0.2*LOG(I97)^2+1.91*LOG(I97)+1.82</f>
        <v>-3.8351146927844377</v>
      </c>
      <c r="K97" s="13">
        <f t="shared" ref="K97:K121" si="40">10^(J97)</f>
        <v>1.4617910792233586E-4</v>
      </c>
      <c r="S97" s="23">
        <f t="shared" si="30"/>
        <v>1.4617910792233586E-4</v>
      </c>
      <c r="AA97" s="24"/>
    </row>
    <row r="98" spans="1:27" x14ac:dyDescent="0.25">
      <c r="A98" s="22" t="s">
        <v>200</v>
      </c>
      <c r="B98" s="13" t="s">
        <v>201</v>
      </c>
      <c r="C98" s="13">
        <v>153.1</v>
      </c>
      <c r="D98" s="13">
        <v>0.18</v>
      </c>
      <c r="E98" s="13">
        <f t="shared" si="38"/>
        <v>0.09</v>
      </c>
      <c r="F98" s="13">
        <f t="shared" si="31"/>
        <v>2.5446900494078998E-2</v>
      </c>
      <c r="G98" s="13">
        <f t="shared" si="32"/>
        <v>5.0893800988157994E-3</v>
      </c>
      <c r="H98" s="13">
        <f t="shared" si="33"/>
        <v>4.0249223594996213E-2</v>
      </c>
      <c r="I98" s="13">
        <f t="shared" si="34"/>
        <v>4.0249223594996213E-3</v>
      </c>
      <c r="J98" s="13">
        <f t="shared" si="39"/>
        <v>-3.9023504809064118</v>
      </c>
      <c r="K98" s="13">
        <f t="shared" si="40"/>
        <v>1.25213028279306E-4</v>
      </c>
      <c r="S98" s="23">
        <f t="shared" si="30"/>
        <v>1.25213028279306E-4</v>
      </c>
      <c r="AA98" s="24"/>
    </row>
    <row r="99" spans="1:27" x14ac:dyDescent="0.25">
      <c r="A99" s="22" t="s">
        <v>202</v>
      </c>
      <c r="B99" s="13" t="s">
        <v>203</v>
      </c>
      <c r="D99" s="13">
        <v>0.2</v>
      </c>
      <c r="E99" s="13">
        <f t="shared" si="38"/>
        <v>0.1</v>
      </c>
      <c r="F99" s="13">
        <f t="shared" si="31"/>
        <v>3.1415926535900009E-2</v>
      </c>
      <c r="G99" s="13">
        <f t="shared" si="32"/>
        <v>6.2831853071800021E-3</v>
      </c>
      <c r="H99" s="13">
        <f t="shared" si="33"/>
        <v>4.4721359549995801E-2</v>
      </c>
      <c r="I99" s="13">
        <f t="shared" si="34"/>
        <v>4.4721359549995806E-3</v>
      </c>
      <c r="J99" s="13">
        <f t="shared" si="39"/>
        <v>-3.771532309223379</v>
      </c>
      <c r="K99" s="13">
        <f t="shared" si="40"/>
        <v>1.6922623443427714E-4</v>
      </c>
      <c r="S99" s="23">
        <f t="shared" si="30"/>
        <v>1.6922623443427714E-4</v>
      </c>
      <c r="AA99" s="24"/>
    </row>
    <row r="100" spans="1:27" x14ac:dyDescent="0.25">
      <c r="A100" s="22" t="s">
        <v>204</v>
      </c>
      <c r="B100" s="13" t="s">
        <v>205</v>
      </c>
      <c r="D100" s="13">
        <v>0.26</v>
      </c>
      <c r="E100" s="13">
        <f t="shared" si="38"/>
        <v>0.13</v>
      </c>
      <c r="F100" s="13">
        <f t="shared" si="31"/>
        <v>5.309291584567101E-2</v>
      </c>
      <c r="G100" s="13">
        <f t="shared" si="32"/>
        <v>1.0618583169134202E-2</v>
      </c>
      <c r="H100" s="13">
        <f t="shared" si="33"/>
        <v>5.8137767414994539E-2</v>
      </c>
      <c r="I100" s="13">
        <f t="shared" si="34"/>
        <v>5.8137767414994544E-3</v>
      </c>
      <c r="J100" s="13">
        <f t="shared" si="39"/>
        <v>-3.4494138448876415</v>
      </c>
      <c r="K100" s="13">
        <f t="shared" si="40"/>
        <v>3.5529259425078736E-4</v>
      </c>
      <c r="S100" s="23">
        <f t="shared" si="30"/>
        <v>3.5529259425078736E-4</v>
      </c>
      <c r="AA100" s="24"/>
    </row>
    <row r="101" spans="1:27" x14ac:dyDescent="0.25">
      <c r="A101" s="22" t="s">
        <v>206</v>
      </c>
      <c r="B101" s="13" t="s">
        <v>207</v>
      </c>
      <c r="D101" s="13">
        <v>0.18</v>
      </c>
      <c r="E101" s="13">
        <f t="shared" si="38"/>
        <v>0.09</v>
      </c>
      <c r="F101" s="13">
        <f t="shared" si="31"/>
        <v>2.5446900494078998E-2</v>
      </c>
      <c r="G101" s="13">
        <f t="shared" si="32"/>
        <v>5.0893800988157994E-3</v>
      </c>
      <c r="H101" s="13">
        <f t="shared" si="33"/>
        <v>4.0249223594996213E-2</v>
      </c>
      <c r="I101" s="13">
        <f t="shared" si="34"/>
        <v>4.0249223594996213E-3</v>
      </c>
      <c r="J101" s="13">
        <f t="shared" si="39"/>
        <v>-3.9023504809064118</v>
      </c>
      <c r="K101" s="13">
        <f t="shared" si="40"/>
        <v>1.25213028279306E-4</v>
      </c>
      <c r="S101" s="23">
        <f t="shared" si="30"/>
        <v>1.25213028279306E-4</v>
      </c>
      <c r="AA101" s="24"/>
    </row>
    <row r="102" spans="1:27" x14ac:dyDescent="0.25">
      <c r="A102" s="22" t="s">
        <v>208</v>
      </c>
      <c r="B102" s="13" t="s">
        <v>209</v>
      </c>
      <c r="D102" s="13">
        <v>0.15</v>
      </c>
      <c r="E102" s="13">
        <f t="shared" si="38"/>
        <v>7.4999999999999997E-2</v>
      </c>
      <c r="F102" s="13">
        <f t="shared" si="31"/>
        <v>1.7671458676443749E-2</v>
      </c>
      <c r="G102" s="13">
        <f t="shared" si="32"/>
        <v>3.5342917352887498E-3</v>
      </c>
      <c r="H102" s="13">
        <f t="shared" si="33"/>
        <v>3.3541019662496847E-2</v>
      </c>
      <c r="I102" s="13">
        <f t="shared" si="34"/>
        <v>3.3541019662496848E-3</v>
      </c>
      <c r="J102" s="13">
        <f t="shared" si="39"/>
        <v>-4.1307039088666961</v>
      </c>
      <c r="K102" s="13">
        <f t="shared" si="40"/>
        <v>7.4010969139631005E-5</v>
      </c>
      <c r="S102" s="23">
        <f t="shared" si="30"/>
        <v>7.4010969139631005E-5</v>
      </c>
      <c r="AA102" s="24"/>
    </row>
    <row r="103" spans="1:27" x14ac:dyDescent="0.25">
      <c r="A103" s="22" t="s">
        <v>210</v>
      </c>
      <c r="B103" s="13" t="s">
        <v>211</v>
      </c>
      <c r="D103" s="13">
        <v>0.14000000000000001</v>
      </c>
      <c r="E103" s="13">
        <f t="shared" si="38"/>
        <v>7.0000000000000007E-2</v>
      </c>
      <c r="F103" s="13">
        <f t="shared" si="31"/>
        <v>1.5393804002591003E-2</v>
      </c>
      <c r="G103" s="13">
        <f t="shared" si="32"/>
        <v>3.0787608005182006E-3</v>
      </c>
      <c r="H103" s="13">
        <f t="shared" si="33"/>
        <v>3.1304951684997057E-2</v>
      </c>
      <c r="I103" s="13">
        <f t="shared" si="34"/>
        <v>3.130495168499706E-3</v>
      </c>
      <c r="J103" s="13">
        <f t="shared" si="39"/>
        <v>-4.2177699089548062</v>
      </c>
      <c r="K103" s="13">
        <f t="shared" si="40"/>
        <v>6.0566167187059101E-5</v>
      </c>
      <c r="S103" s="23">
        <f t="shared" si="30"/>
        <v>6.0566167187059101E-5</v>
      </c>
      <c r="AA103" s="24"/>
    </row>
    <row r="104" spans="1:27" x14ac:dyDescent="0.25">
      <c r="A104" s="22" t="s">
        <v>212</v>
      </c>
      <c r="B104" s="13" t="s">
        <v>213</v>
      </c>
      <c r="D104" s="13">
        <v>0.41</v>
      </c>
      <c r="E104" s="13">
        <f t="shared" si="38"/>
        <v>0.20499999999999999</v>
      </c>
      <c r="F104" s="13">
        <f t="shared" si="31"/>
        <v>0.13202543126711974</v>
      </c>
      <c r="G104" s="13">
        <f t="shared" si="32"/>
        <v>2.640508625342395E-2</v>
      </c>
      <c r="H104" s="13">
        <f t="shared" si="33"/>
        <v>9.1678787077491372E-2</v>
      </c>
      <c r="I104" s="13">
        <f t="shared" si="34"/>
        <v>9.1678787077491379E-3</v>
      </c>
      <c r="J104" s="13">
        <f t="shared" si="39"/>
        <v>-2.902536120216137</v>
      </c>
      <c r="K104" s="13">
        <f t="shared" si="40"/>
        <v>1.2515951736933885E-3</v>
      </c>
      <c r="S104" s="23">
        <f t="shared" si="30"/>
        <v>1.2515951736933885E-3</v>
      </c>
      <c r="AA104" s="24"/>
    </row>
    <row r="105" spans="1:27" x14ac:dyDescent="0.25">
      <c r="A105" s="22" t="s">
        <v>214</v>
      </c>
      <c r="B105" s="13" t="s">
        <v>215</v>
      </c>
      <c r="C105" s="13">
        <v>600</v>
      </c>
      <c r="D105" s="13">
        <v>0.42</v>
      </c>
      <c r="E105" s="13">
        <f t="shared" si="38"/>
        <v>0.21</v>
      </c>
      <c r="F105" s="13">
        <f t="shared" si="31"/>
        <v>0.13854423602331897</v>
      </c>
      <c r="G105" s="13">
        <f t="shared" si="32"/>
        <v>2.7708847204663795E-2</v>
      </c>
      <c r="H105" s="13">
        <f t="shared" si="33"/>
        <v>9.3914855054991156E-2</v>
      </c>
      <c r="I105" s="13">
        <f t="shared" si="34"/>
        <v>9.3914855054991163E-3</v>
      </c>
      <c r="J105" s="13">
        <f t="shared" si="39"/>
        <v>-2.8740387509067604</v>
      </c>
      <c r="K105" s="13">
        <f t="shared" si="40"/>
        <v>1.3364762611109389E-3</v>
      </c>
      <c r="S105" s="23">
        <f t="shared" si="30"/>
        <v>1.3364762611109389E-3</v>
      </c>
      <c r="AA105" s="24"/>
    </row>
    <row r="106" spans="1:27" x14ac:dyDescent="0.25">
      <c r="A106" s="22" t="s">
        <v>216</v>
      </c>
      <c r="B106" s="13" t="s">
        <v>217</v>
      </c>
      <c r="D106" s="13">
        <v>0.25</v>
      </c>
      <c r="E106" s="13">
        <f t="shared" si="38"/>
        <v>0.125</v>
      </c>
      <c r="F106" s="13">
        <f t="shared" si="31"/>
        <v>4.9087385212343751E-2</v>
      </c>
      <c r="G106" s="13">
        <f t="shared" si="32"/>
        <v>9.8174770424687505E-3</v>
      </c>
      <c r="H106" s="13">
        <f t="shared" si="33"/>
        <v>5.5901699437494741E-2</v>
      </c>
      <c r="I106" s="13">
        <f t="shared" si="34"/>
        <v>5.5901699437494743E-3</v>
      </c>
      <c r="J106" s="13">
        <f t="shared" si="39"/>
        <v>-3.4972370456533026</v>
      </c>
      <c r="K106" s="13">
        <f t="shared" si="40"/>
        <v>3.1824600043064521E-4</v>
      </c>
      <c r="S106" s="23">
        <f t="shared" si="30"/>
        <v>3.1824600043064521E-4</v>
      </c>
      <c r="AA106" s="24"/>
    </row>
    <row r="107" spans="1:27" x14ac:dyDescent="0.25">
      <c r="A107" s="22" t="s">
        <v>218</v>
      </c>
      <c r="B107" s="13" t="s">
        <v>219</v>
      </c>
      <c r="D107" s="13">
        <v>0.18</v>
      </c>
      <c r="E107" s="13">
        <f t="shared" si="38"/>
        <v>0.09</v>
      </c>
      <c r="F107" s="13">
        <f t="shared" si="31"/>
        <v>2.5446900494078998E-2</v>
      </c>
      <c r="G107" s="13">
        <f t="shared" si="32"/>
        <v>5.0893800988157994E-3</v>
      </c>
      <c r="H107" s="13">
        <f t="shared" si="33"/>
        <v>4.0249223594996213E-2</v>
      </c>
      <c r="I107" s="13">
        <f t="shared" si="34"/>
        <v>4.0249223594996213E-3</v>
      </c>
      <c r="J107" s="13">
        <f t="shared" si="39"/>
        <v>-3.9023504809064118</v>
      </c>
      <c r="K107" s="13">
        <f t="shared" si="40"/>
        <v>1.25213028279306E-4</v>
      </c>
      <c r="S107" s="23">
        <f t="shared" si="30"/>
        <v>1.25213028279306E-4</v>
      </c>
      <c r="AA107" s="24"/>
    </row>
    <row r="108" spans="1:27" x14ac:dyDescent="0.25">
      <c r="A108" s="30" t="s">
        <v>220</v>
      </c>
      <c r="B108" s="13" t="s">
        <v>221</v>
      </c>
      <c r="D108" s="13">
        <v>0.21</v>
      </c>
      <c r="E108" s="13">
        <f t="shared" si="38"/>
        <v>0.105</v>
      </c>
      <c r="F108" s="13">
        <f t="shared" si="31"/>
        <v>3.4636059005829743E-2</v>
      </c>
      <c r="G108" s="13">
        <f t="shared" si="32"/>
        <v>6.9272118011659486E-3</v>
      </c>
      <c r="H108" s="13">
        <f t="shared" si="33"/>
        <v>4.6957427527495578E-2</v>
      </c>
      <c r="I108" s="13">
        <f t="shared" si="34"/>
        <v>4.6957427527495581E-3</v>
      </c>
      <c r="J108" s="13">
        <f t="shared" si="39"/>
        <v>-3.7112369691303053</v>
      </c>
      <c r="K108" s="13">
        <f t="shared" si="40"/>
        <v>1.9442989017988033E-4</v>
      </c>
      <c r="S108" s="23">
        <f t="shared" si="30"/>
        <v>1.9442989017988033E-4</v>
      </c>
      <c r="AA108" s="24"/>
    </row>
    <row r="109" spans="1:27" x14ac:dyDescent="0.25">
      <c r="A109" s="30" t="s">
        <v>222</v>
      </c>
      <c r="B109" s="13" t="s">
        <v>223</v>
      </c>
      <c r="D109" s="13">
        <v>0.17</v>
      </c>
      <c r="E109" s="13">
        <f t="shared" si="38"/>
        <v>8.5000000000000006E-2</v>
      </c>
      <c r="F109" s="13">
        <f t="shared" si="31"/>
        <v>2.2698006922187756E-2</v>
      </c>
      <c r="G109" s="13">
        <f t="shared" si="32"/>
        <v>4.5396013844375511E-3</v>
      </c>
      <c r="H109" s="13">
        <f t="shared" si="33"/>
        <v>3.8013155617496429E-2</v>
      </c>
      <c r="I109" s="13">
        <f t="shared" si="34"/>
        <v>3.8013155617496429E-3</v>
      </c>
      <c r="J109" s="13">
        <f t="shared" si="39"/>
        <v>-3.9736701689070157</v>
      </c>
      <c r="K109" s="13">
        <f t="shared" si="40"/>
        <v>1.0625021831840211E-4</v>
      </c>
      <c r="S109" s="23">
        <f t="shared" si="30"/>
        <v>1.0625021831840211E-4</v>
      </c>
      <c r="AA109" s="24"/>
    </row>
    <row r="110" spans="1:27" x14ac:dyDescent="0.25">
      <c r="A110" s="30" t="s">
        <v>224</v>
      </c>
      <c r="B110" s="13" t="s">
        <v>225</v>
      </c>
      <c r="D110" s="13">
        <v>0.1</v>
      </c>
      <c r="E110" s="13">
        <f t="shared" si="38"/>
        <v>0.05</v>
      </c>
      <c r="F110" s="13">
        <f t="shared" si="31"/>
        <v>7.8539816339750022E-3</v>
      </c>
      <c r="G110" s="13">
        <f t="shared" si="32"/>
        <v>1.5707963267950005E-3</v>
      </c>
      <c r="H110" s="13">
        <f t="shared" si="33"/>
        <v>2.2360679774997901E-2</v>
      </c>
      <c r="I110" s="13">
        <f t="shared" si="34"/>
        <v>2.2360679774997903E-3</v>
      </c>
      <c r="J110" s="13">
        <f t="shared" si="39"/>
        <v>-4.6475295966055645</v>
      </c>
      <c r="K110" s="13">
        <f t="shared" si="40"/>
        <v>2.2514919752588315E-5</v>
      </c>
      <c r="S110" s="23">
        <f t="shared" si="30"/>
        <v>2.2514919752588315E-5</v>
      </c>
      <c r="AA110" s="24"/>
    </row>
    <row r="111" spans="1:27" x14ac:dyDescent="0.25">
      <c r="A111" s="30" t="s">
        <v>226</v>
      </c>
      <c r="B111" s="13" t="s">
        <v>227</v>
      </c>
      <c r="D111" s="13">
        <v>0.55000000000000004</v>
      </c>
      <c r="E111" s="13">
        <f t="shared" si="38"/>
        <v>0.27500000000000002</v>
      </c>
      <c r="F111" s="13">
        <f t="shared" si="31"/>
        <v>0.2375829444277438</v>
      </c>
      <c r="G111" s="13">
        <f t="shared" si="32"/>
        <v>4.7516588885548758E-2</v>
      </c>
      <c r="H111" s="13">
        <f t="shared" si="33"/>
        <v>0.12298373876248844</v>
      </c>
      <c r="I111" s="13">
        <f t="shared" si="34"/>
        <v>1.2298373876248846E-2</v>
      </c>
      <c r="J111" s="13">
        <f t="shared" si="39"/>
        <v>-2.5581272771346999</v>
      </c>
      <c r="K111" s="13">
        <f t="shared" si="40"/>
        <v>2.7661308665049063E-3</v>
      </c>
      <c r="S111" s="23">
        <f t="shared" si="30"/>
        <v>2.7661308665049063E-3</v>
      </c>
      <c r="AA111" s="24"/>
    </row>
    <row r="112" spans="1:27" x14ac:dyDescent="0.25">
      <c r="A112" s="30" t="s">
        <v>228</v>
      </c>
      <c r="B112" s="13" t="s">
        <v>229</v>
      </c>
      <c r="D112" s="13">
        <v>0.31</v>
      </c>
      <c r="E112" s="13">
        <f t="shared" si="38"/>
        <v>0.155</v>
      </c>
      <c r="F112" s="13">
        <f t="shared" si="31"/>
        <v>7.5476763502499752E-2</v>
      </c>
      <c r="G112" s="13">
        <f t="shared" si="32"/>
        <v>1.5095352700499951E-2</v>
      </c>
      <c r="H112" s="13">
        <f t="shared" si="33"/>
        <v>6.9318107302493479E-2</v>
      </c>
      <c r="I112" s="13">
        <f t="shared" si="34"/>
        <v>6.931810730249348E-3</v>
      </c>
      <c r="J112" s="13">
        <f t="shared" si="39"/>
        <v>-3.2363714086684929</v>
      </c>
      <c r="K112" s="13">
        <f t="shared" si="40"/>
        <v>5.8026796007006E-4</v>
      </c>
      <c r="S112" s="23">
        <f t="shared" si="30"/>
        <v>5.8026796007006E-4</v>
      </c>
      <c r="AA112" s="24"/>
    </row>
    <row r="113" spans="1:27" x14ac:dyDescent="0.25">
      <c r="A113" s="22" t="s">
        <v>230</v>
      </c>
      <c r="B113" s="13" t="s">
        <v>231</v>
      </c>
      <c r="C113" s="13">
        <v>445</v>
      </c>
      <c r="D113" s="13">
        <v>0.56999999999999995</v>
      </c>
      <c r="E113" s="13">
        <f t="shared" si="38"/>
        <v>0.28499999999999998</v>
      </c>
      <c r="F113" s="13">
        <f t="shared" si="31"/>
        <v>0.25517586328784775</v>
      </c>
      <c r="G113" s="13">
        <f t="shared" si="32"/>
        <v>5.1035172657569551E-2</v>
      </c>
      <c r="H113" s="13">
        <f t="shared" si="33"/>
        <v>0.12745587471748801</v>
      </c>
      <c r="I113" s="13">
        <f t="shared" si="34"/>
        <v>1.2745587471748802E-2</v>
      </c>
      <c r="J113" s="13">
        <f t="shared" si="39"/>
        <v>-2.516694925181076</v>
      </c>
      <c r="K113" s="13">
        <f t="shared" si="40"/>
        <v>3.0430218784318844E-3</v>
      </c>
      <c r="S113" s="23">
        <f t="shared" si="30"/>
        <v>3.0430218784318844E-3</v>
      </c>
      <c r="AA113" s="24"/>
    </row>
    <row r="114" spans="1:27" x14ac:dyDescent="0.25">
      <c r="S114" s="23">
        <f t="shared" si="30"/>
        <v>0</v>
      </c>
      <c r="AA114" s="24"/>
    </row>
    <row r="115" spans="1:27" x14ac:dyDescent="0.25">
      <c r="A115" s="22" t="s">
        <v>288</v>
      </c>
      <c r="B115" s="13" t="s">
        <v>289</v>
      </c>
      <c r="C115" s="13">
        <v>45</v>
      </c>
      <c r="D115" s="13">
        <v>0.14000000000000001</v>
      </c>
      <c r="E115" s="13">
        <f t="shared" si="38"/>
        <v>7.0000000000000007E-2</v>
      </c>
      <c r="F115" s="13">
        <f>3.14159265359*(E115)^2</f>
        <v>1.5393804002591003E-2</v>
      </c>
      <c r="G115" s="13">
        <f t="shared" si="32"/>
        <v>3.0787608005182006E-3</v>
      </c>
      <c r="H115" s="13">
        <f t="shared" si="33"/>
        <v>3.1304951684997057E-2</v>
      </c>
      <c r="I115" s="13">
        <f t="shared" si="34"/>
        <v>3.130495168499706E-3</v>
      </c>
      <c r="J115" s="13">
        <f t="shared" si="39"/>
        <v>-4.2177699089548062</v>
      </c>
      <c r="K115" s="43">
        <f t="shared" si="40"/>
        <v>6.0566167187059101E-5</v>
      </c>
      <c r="S115" s="23">
        <f t="shared" si="30"/>
        <v>6.0566167187059101E-5</v>
      </c>
      <c r="AA115" s="24"/>
    </row>
    <row r="116" spans="1:27" x14ac:dyDescent="0.25">
      <c r="A116" s="45" t="s">
        <v>305</v>
      </c>
      <c r="B116" s="13" t="s">
        <v>290</v>
      </c>
      <c r="C116" s="13">
        <v>132.41</v>
      </c>
      <c r="K116" s="43"/>
      <c r="T116" s="13">
        <v>0.36399999999999999</v>
      </c>
      <c r="U116" s="13">
        <v>0.182</v>
      </c>
      <c r="V116" s="13">
        <v>0.104</v>
      </c>
      <c r="W116" s="13">
        <f t="shared" ref="W116" si="41">(V116)*2/10</f>
        <v>2.0799999999999999E-2</v>
      </c>
      <c r="X116" s="13">
        <f t="shared" ref="X116" si="42">SQRT(W116/3.14159265359)</f>
        <v>8.1368578902561703E-2</v>
      </c>
      <c r="Y116" s="13">
        <f t="shared" ref="Y116" si="43">(X116*0.1)</f>
        <v>8.1368578902561699E-3</v>
      </c>
      <c r="Z116" s="13">
        <f t="shared" ref="Z116" si="44">-0.2*LOG(Y116)^2+1.91*LOG(Y116)+1.82</f>
        <v>-3.0442658580258781</v>
      </c>
      <c r="AA116" s="24">
        <f t="shared" ref="AA116" si="45">10^(Z116)</f>
        <v>9.0309646428589634E-4</v>
      </c>
    </row>
    <row r="117" spans="1:27" x14ac:dyDescent="0.25">
      <c r="K117" s="43"/>
    </row>
    <row r="118" spans="1:27" x14ac:dyDescent="0.25">
      <c r="A118" s="46" t="s">
        <v>296</v>
      </c>
      <c r="K118" s="43"/>
    </row>
    <row r="119" spans="1:27" x14ac:dyDescent="0.25">
      <c r="A119" s="47" t="s">
        <v>299</v>
      </c>
      <c r="B119" s="48" t="s">
        <v>301</v>
      </c>
      <c r="D119" s="13">
        <v>0.314</v>
      </c>
      <c r="E119" s="13">
        <f t="shared" si="38"/>
        <v>0.157</v>
      </c>
      <c r="F119" s="13">
        <f t="shared" ref="F119:F121" si="46">3.14159265359*(E119)^2</f>
        <v>7.743711731833991E-2</v>
      </c>
      <c r="G119" s="13">
        <f t="shared" si="32"/>
        <v>1.5487423463667983E-2</v>
      </c>
      <c r="H119" s="13">
        <f t="shared" si="33"/>
        <v>7.0212534493493392E-2</v>
      </c>
      <c r="I119" s="13">
        <f t="shared" si="34"/>
        <v>7.0212534493493397E-3</v>
      </c>
      <c r="J119" s="13">
        <f t="shared" si="39"/>
        <v>-3.2209339897783877</v>
      </c>
      <c r="K119" s="43">
        <f t="shared" si="40"/>
        <v>6.0126511932044949E-4</v>
      </c>
      <c r="S119" s="23">
        <f>K119+R119</f>
        <v>6.0126511932044949E-4</v>
      </c>
    </row>
    <row r="120" spans="1:27" x14ac:dyDescent="0.25">
      <c r="A120" s="47" t="s">
        <v>298</v>
      </c>
      <c r="B120" s="48" t="s">
        <v>300</v>
      </c>
      <c r="D120" s="13">
        <v>0.50800000000000001</v>
      </c>
      <c r="E120" s="13">
        <f t="shared" si="38"/>
        <v>0.254</v>
      </c>
      <c r="F120" s="13">
        <f t="shared" si="46"/>
        <v>0.20268299163901246</v>
      </c>
      <c r="G120" s="13">
        <f t="shared" si="32"/>
        <v>4.0536598327802494E-2</v>
      </c>
      <c r="H120" s="13">
        <f t="shared" si="33"/>
        <v>0.11359225325698932</v>
      </c>
      <c r="I120" s="13">
        <f t="shared" si="34"/>
        <v>1.1359225325698934E-2</v>
      </c>
      <c r="J120" s="13">
        <f t="shared" si="39"/>
        <v>-2.6506176798735694</v>
      </c>
      <c r="K120" s="43">
        <f t="shared" si="40"/>
        <v>2.2355393571888496E-3</v>
      </c>
      <c r="S120" s="23">
        <f t="shared" si="30"/>
        <v>2.2355393571888496E-3</v>
      </c>
    </row>
    <row r="121" spans="1:27" x14ac:dyDescent="0.25">
      <c r="A121" s="47" t="s">
        <v>297</v>
      </c>
      <c r="B121" s="48" t="s">
        <v>302</v>
      </c>
      <c r="D121" s="13">
        <v>0.63600000000000001</v>
      </c>
      <c r="E121" s="13">
        <f t="shared" si="38"/>
        <v>0.318</v>
      </c>
      <c r="F121" s="13">
        <f t="shared" si="46"/>
        <v>0.31769041550163518</v>
      </c>
      <c r="G121" s="13">
        <f t="shared" si="32"/>
        <v>6.3538083100327034E-2</v>
      </c>
      <c r="H121" s="13">
        <f t="shared" si="33"/>
        <v>0.14221392336898664</v>
      </c>
      <c r="I121" s="13">
        <f t="shared" si="34"/>
        <v>1.4221392336898665E-2</v>
      </c>
      <c r="J121" s="13">
        <f t="shared" si="39"/>
        <v>-2.3902051189979261</v>
      </c>
      <c r="K121" s="43">
        <f t="shared" si="40"/>
        <v>4.0718791592122454E-3</v>
      </c>
      <c r="L121" s="13">
        <v>0.218</v>
      </c>
      <c r="M121" s="13">
        <f t="shared" ref="M121" si="47">3.14159265359*(L121)^2</f>
        <v>0.14930104926921114</v>
      </c>
      <c r="N121" s="13">
        <f t="shared" ref="N121" si="48">(M121)*2/10</f>
        <v>2.9860209853842228E-2</v>
      </c>
      <c r="O121" s="13">
        <f t="shared" ref="O121" si="49">SQRT(N121/3.14159265359)</f>
        <v>9.7492563818990824E-2</v>
      </c>
      <c r="P121" s="13">
        <f t="shared" ref="P121" si="50">(O121*0.1)</f>
        <v>9.7492563818990831E-3</v>
      </c>
      <c r="Q121" s="13">
        <f t="shared" ref="Q121" si="51">-0.2*LOG(P121)^2+1.91*LOG(P121)+1.82</f>
        <v>-2.8299115838070534</v>
      </c>
      <c r="R121" s="13">
        <f t="shared" ref="R121" si="52">10^(Q121)</f>
        <v>1.4794095442988385E-3</v>
      </c>
      <c r="S121" s="23">
        <f t="shared" si="30"/>
        <v>5.5512887035110842E-3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Allan et al. (2014) dataset</vt:lpstr>
      <vt:lpstr>Table 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Mariana Sena</cp:lastModifiedBy>
  <cp:revision>6</cp:revision>
  <dcterms:created xsi:type="dcterms:W3CDTF">2025-09-17T07:48:30Z</dcterms:created>
  <dcterms:modified xsi:type="dcterms:W3CDTF">2026-02-03T17:43:53Z</dcterms:modified>
  <dc:language>en-GB</dc:language>
</cp:coreProperties>
</file>